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45" windowWidth="11745" windowHeight="8280"/>
  </bookViews>
  <sheets>
    <sheet name="제품" sheetId="5" r:id="rId1"/>
    <sheet name="재고관리" sheetId="8" r:id="rId2"/>
    <sheet name="입출고" sheetId="9" r:id="rId3"/>
  </sheets>
  <functionGroups builtInGroupCount="17"/>
  <definedNames>
    <definedName name="_1stCopyTo">재고관리!$B$9</definedName>
    <definedName name="_1stCriteria">재고관리!$B$6</definedName>
    <definedName name="_2ndCopyTo">재고관리!$G$9</definedName>
    <definedName name="_2ndCriteria">재고관리!$G$6</definedName>
    <definedName name="_xlnm._FilterDatabase" localSheetId="0" hidden="1">제품!$A$1:$J$78</definedName>
    <definedName name="_xlnm.Criteria" localSheetId="1">재고관리!$G$5:$G$6</definedName>
    <definedName name="_xlnm.Extract" localSheetId="1">재고관리!$G$9:$I$9</definedName>
    <definedName name="OptionValue">재고관리!$I$6</definedName>
  </definedNames>
  <calcPr calcId="145621"/>
</workbook>
</file>

<file path=xl/calcChain.xml><?xml version="1.0" encoding="utf-8"?>
<calcChain xmlns="http://schemas.openxmlformats.org/spreadsheetml/2006/main">
  <c r="J2" i="5" l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G6" i="8" l="1"/>
</calcChain>
</file>

<file path=xl/sharedStrings.xml><?xml version="1.0" encoding="utf-8"?>
<sst xmlns="http://schemas.openxmlformats.org/spreadsheetml/2006/main" count="435" uniqueCount="138">
  <si>
    <t>유제품</t>
  </si>
  <si>
    <t>현진 커피 밀크</t>
  </si>
  <si>
    <t>곡류</t>
  </si>
  <si>
    <t>싱가폴 원산 옥수수</t>
  </si>
  <si>
    <t>대관령 특제 버터</t>
  </si>
  <si>
    <t>가공 식품</t>
  </si>
  <si>
    <t>유미 건조 다시마</t>
  </si>
  <si>
    <t>유림 사과 통조림</t>
  </si>
  <si>
    <t>해산물</t>
  </si>
  <si>
    <t>훈제 대합조개 통조림</t>
  </si>
  <si>
    <t>조미료</t>
  </si>
  <si>
    <t>루이지애나 특산 후추</t>
  </si>
  <si>
    <t>신성 시리얼</t>
  </si>
  <si>
    <t>한성 통밀가루</t>
  </si>
  <si>
    <t>과자류</t>
  </si>
  <si>
    <t>대양 마말레이드</t>
  </si>
  <si>
    <t>한라 멜론 아이스크림</t>
  </si>
  <si>
    <t>대일 파메쌍 치즈</t>
  </si>
  <si>
    <t>대관령 바닐라 아이스크림</t>
  </si>
  <si>
    <t>음료</t>
  </si>
  <si>
    <t>OK 바닐라 셰이크</t>
  </si>
  <si>
    <t>미왕 계피 캔디</t>
  </si>
  <si>
    <t>삼화 콜라</t>
  </si>
  <si>
    <t>육류</t>
  </si>
  <si>
    <t>한림 특선 양념 칠면조</t>
  </si>
  <si>
    <t>서울 구이 김</t>
  </si>
  <si>
    <t>태양 100% 레몬 주스</t>
  </si>
  <si>
    <t>파블로바 피넛 스프레드</t>
  </si>
  <si>
    <t>특제 굴 통조림</t>
  </si>
  <si>
    <t>대일 포장 치즈</t>
  </si>
  <si>
    <t>파스 페이스 티</t>
  </si>
  <si>
    <t>알파 샐러드 드레싱</t>
  </si>
  <si>
    <t>우미 피넛 샌드</t>
  </si>
  <si>
    <t>신한 100% 파인애플 시럽</t>
  </si>
  <si>
    <t>대관령 초콜릿 아이스크림</t>
  </si>
  <si>
    <t>대양 핫 케이크 소스</t>
  </si>
  <si>
    <t>포장 건 오징어</t>
  </si>
  <si>
    <t>사계절 커스터드 파이</t>
  </si>
  <si>
    <t>트로피컬 칵테일</t>
  </si>
  <si>
    <t>태일 적포도주</t>
  </si>
  <si>
    <t>대양 특선 건과(배)</t>
  </si>
  <si>
    <t>한성 옥수수 가루</t>
  </si>
  <si>
    <t>태평양 포장 파래</t>
  </si>
  <si>
    <t>앨리스 포장육</t>
  </si>
  <si>
    <t>현진 바닐라 엣센스</t>
  </si>
  <si>
    <t>보스톤산 게살 통조림</t>
  </si>
  <si>
    <t>미왕 초콜릿 드링크</t>
  </si>
  <si>
    <t>알파 왕갈비 훈제육</t>
  </si>
  <si>
    <t>콜롬비아산 원두커피</t>
  </si>
  <si>
    <t>노르웨이산 연어알 조림</t>
  </si>
  <si>
    <t>한라 연유</t>
  </si>
  <si>
    <t>유미 돌김</t>
  </si>
  <si>
    <t>알파 특선 튀김 다시마</t>
  </si>
  <si>
    <t>델타 청정 생강즙</t>
  </si>
  <si>
    <t>대륙 사과 식초</t>
  </si>
  <si>
    <t>원양 순 상어알</t>
  </si>
  <si>
    <t>알파인 맥주</t>
  </si>
  <si>
    <t>신한 초콜릿 소스</t>
  </si>
  <si>
    <t>유미 간장</t>
  </si>
  <si>
    <t>태일 브랜디</t>
  </si>
  <si>
    <t>태양 100% 오렌지 주스</t>
  </si>
  <si>
    <t>태일 라이트 맥주</t>
  </si>
  <si>
    <t>버뮤다 포장 참치</t>
  </si>
  <si>
    <t>한림 훈제 통닭</t>
  </si>
  <si>
    <t>미미 스카치 캔디</t>
  </si>
  <si>
    <t>태양 체리 시럽</t>
  </si>
  <si>
    <t>알파 콘 플레이크</t>
  </si>
  <si>
    <t>대륙 냉동 참치</t>
  </si>
  <si>
    <t>한라 분유</t>
  </si>
  <si>
    <t>유미 멸치 가루</t>
  </si>
  <si>
    <t>신한 100% 복숭아 시럽</t>
  </si>
  <si>
    <t>대양 특선 블루베리 잼</t>
  </si>
  <si>
    <t>대성 어묵</t>
  </si>
  <si>
    <t>필로 믹스</t>
  </si>
  <si>
    <t>우미 특선 레몬 파이</t>
  </si>
  <si>
    <t>OK 체리 셰이크</t>
  </si>
  <si>
    <t>우미 코코넛 쿠키</t>
  </si>
  <si>
    <t>진미 바닐라 쿠키</t>
  </si>
  <si>
    <t>신성 쌀 튀김 과자</t>
  </si>
  <si>
    <t>대양 특선 딸기 소스</t>
  </si>
  <si>
    <t>미왕 코코아 샌드</t>
  </si>
  <si>
    <t>버뮤다 포장 문어</t>
  </si>
  <si>
    <t>진미 트로피컬 캔디</t>
  </si>
  <si>
    <t>사계절 핫 소스</t>
  </si>
  <si>
    <t>북미산 상등육 쇠고기</t>
  </si>
  <si>
    <t>태양 식품 ㈜</t>
  </si>
  <si>
    <t>신한 식품 ㈜</t>
  </si>
  <si>
    <t>대양 농산 ㈜</t>
  </si>
  <si>
    <t>서울 무역 ㈜</t>
  </si>
  <si>
    <t>현진 식품 ㈜</t>
  </si>
  <si>
    <t>유미 식품 ㈜</t>
  </si>
  <si>
    <t>대륙 교역 ㈜</t>
  </si>
  <si>
    <t>미미 제과 ㈜</t>
  </si>
  <si>
    <t>신성 곡물 ㈜</t>
  </si>
  <si>
    <t>삼화 음료 ㈜</t>
  </si>
  <si>
    <t>우미 제과 ㈜</t>
  </si>
  <si>
    <t>알파 식품 ㈜</t>
  </si>
  <si>
    <t>태평양 수산 ㈜</t>
  </si>
  <si>
    <t>대관령 유업 ㈜</t>
  </si>
  <si>
    <t>한라 유업 ㈜</t>
  </si>
  <si>
    <t>태일 양조 ㈜</t>
  </si>
  <si>
    <t>원양 수산 ㈜</t>
  </si>
  <si>
    <t>OK 유업 ㈜</t>
  </si>
  <si>
    <t>금호 수산 ㈜</t>
  </si>
  <si>
    <t>델타 무역 ㈜</t>
  </si>
  <si>
    <t>버뮤다 수산 ㈜</t>
  </si>
  <si>
    <t>진미 식품 ㈜</t>
  </si>
  <si>
    <t>미왕 식품 ㈜</t>
  </si>
  <si>
    <t>유림 농산 ㈜</t>
  </si>
  <si>
    <t>한림 낙농 ㈜</t>
  </si>
  <si>
    <t>한성 제분 ㈜</t>
  </si>
  <si>
    <t>대성 육가공 ㈜</t>
  </si>
  <si>
    <t>대일 유업 ㈜</t>
  </si>
  <si>
    <t>사계절 식품 ㈜</t>
  </si>
  <si>
    <t>분류</t>
    <phoneticPr fontId="1" type="noConversion"/>
  </si>
  <si>
    <t>제품번호</t>
    <phoneticPr fontId="1" type="noConversion"/>
  </si>
  <si>
    <t>공급업체</t>
    <phoneticPr fontId="1" type="noConversion"/>
  </si>
  <si>
    <t>단가</t>
    <phoneticPr fontId="1" type="noConversion"/>
  </si>
  <si>
    <t>구분</t>
    <phoneticPr fontId="1" type="noConversion"/>
  </si>
  <si>
    <t>수량</t>
    <phoneticPr fontId="1" type="noConversion"/>
  </si>
  <si>
    <t>입고</t>
    <phoneticPr fontId="2" type="noConversion"/>
  </si>
  <si>
    <t>출고</t>
    <phoneticPr fontId="2" type="noConversion"/>
  </si>
  <si>
    <t>현 재고</t>
    <phoneticPr fontId="2" type="noConversion"/>
  </si>
  <si>
    <t>유제품</t>
    <phoneticPr fontId="2" type="noConversion"/>
  </si>
  <si>
    <t>분류</t>
    <phoneticPr fontId="1" type="noConversion"/>
  </si>
  <si>
    <t>입고</t>
    <phoneticPr fontId="1" type="noConversion"/>
  </si>
  <si>
    <t>출고</t>
    <phoneticPr fontId="1" type="noConversion"/>
  </si>
  <si>
    <t>공급업체</t>
    <phoneticPr fontId="1" type="noConversion"/>
  </si>
  <si>
    <t>현 재고</t>
    <phoneticPr fontId="1" type="noConversion"/>
  </si>
  <si>
    <t>손실</t>
    <phoneticPr fontId="2" type="noConversion"/>
  </si>
  <si>
    <t>이월</t>
    <phoneticPr fontId="2" type="noConversion"/>
  </si>
  <si>
    <t>손실</t>
    <phoneticPr fontId="1" type="noConversion"/>
  </si>
  <si>
    <t>이월</t>
    <phoneticPr fontId="1" type="noConversion"/>
  </si>
  <si>
    <t>발주 리스트</t>
    <phoneticPr fontId="1" type="noConversion"/>
  </si>
  <si>
    <t>입출고</t>
    <phoneticPr fontId="1" type="noConversion"/>
  </si>
  <si>
    <t>제품</t>
    <phoneticPr fontId="1" type="noConversion"/>
  </si>
  <si>
    <t>입출고일</t>
    <phoneticPr fontId="1" type="noConversion"/>
  </si>
  <si>
    <t>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</si>
</sst>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);[Red]\(#,##0\)"/>
  </numFmts>
  <fonts count="11"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Web Wulnungdo nw10"/>
      <family val="1"/>
      <charset val="129"/>
    </font>
    <font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</font>
    <font>
      <sz val="9"/>
      <color rgb="FF000000"/>
      <name val="굴림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medium">
        <color theme="0" tint="-0.499984740745262"/>
      </bottom>
      <diagonal/>
    </border>
    <border>
      <left/>
      <right/>
      <top style="thin">
        <color theme="0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n">
        <color theme="0"/>
      </top>
      <bottom style="medium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3" fillId="2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176" fontId="5" fillId="0" borderId="0" xfId="0" applyNumberFormat="1" applyFont="1" applyFill="1" applyBorder="1" applyAlignment="1">
      <alignment vertical="center"/>
    </xf>
    <xf numFmtId="0" fontId="7" fillId="0" borderId="0" xfId="0" applyFont="1" applyFill="1" applyBorder="1">
      <alignment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0" fillId="6" borderId="5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vertical="center"/>
    </xf>
    <xf numFmtId="0" fontId="0" fillId="6" borderId="5" xfId="0" applyNumberFormat="1" applyFont="1" applyFill="1" applyBorder="1" applyAlignment="1">
      <alignment horizontal="center" vertical="center"/>
    </xf>
    <xf numFmtId="14" fontId="0" fillId="6" borderId="6" xfId="0" applyNumberFormat="1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vertical="center"/>
    </xf>
    <xf numFmtId="0" fontId="0" fillId="7" borderId="5" xfId="0" applyNumberFormat="1" applyFont="1" applyFill="1" applyBorder="1" applyAlignment="1">
      <alignment horizontal="center" vertical="center"/>
    </xf>
    <xf numFmtId="14" fontId="0" fillId="7" borderId="6" xfId="0" applyNumberFormat="1" applyFont="1" applyFill="1" applyBorder="1" applyAlignment="1">
      <alignment horizontal="center" vertical="center"/>
    </xf>
    <xf numFmtId="0" fontId="0" fillId="6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vertical="center"/>
    </xf>
    <xf numFmtId="0" fontId="0" fillId="6" borderId="7" xfId="0" applyNumberFormat="1" applyFont="1" applyFill="1" applyBorder="1" applyAlignment="1">
      <alignment horizontal="center" vertical="center"/>
    </xf>
    <xf numFmtId="14" fontId="0" fillId="6" borderId="0" xfId="0" applyNumberFormat="1" applyFont="1" applyFill="1" applyAlignment="1">
      <alignment horizontal="center" vertical="center"/>
    </xf>
    <xf numFmtId="0" fontId="3" fillId="3" borderId="8" xfId="0" applyFont="1" applyFill="1" applyBorder="1">
      <alignment vertical="center"/>
    </xf>
    <xf numFmtId="0" fontId="3" fillId="3" borderId="9" xfId="0" applyFont="1" applyFill="1" applyBorder="1">
      <alignment vertical="center"/>
    </xf>
    <xf numFmtId="0" fontId="3" fillId="3" borderId="10" xfId="0" applyFont="1" applyFill="1" applyBorder="1">
      <alignment vertical="center"/>
    </xf>
    <xf numFmtId="0" fontId="6" fillId="0" borderId="2" xfId="0" applyFont="1" applyFill="1" applyBorder="1" applyAlignment="1">
      <alignment horizontal="center" vertical="center"/>
    </xf>
    <xf numFmtId="176" fontId="5" fillId="0" borderId="2" xfId="0" applyNumberFormat="1" applyFont="1" applyFill="1" applyBorder="1" applyAlignment="1">
      <alignment vertical="center"/>
    </xf>
    <xf numFmtId="0" fontId="5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</cellXfs>
  <cellStyles count="1">
    <cellStyle name="표준" xfId="0" builtinId="0" customBuiltin="1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176" formatCode="#,##0_);[Red]\(#,##0\)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numFmt numFmtId="176" formatCode="#,##0_);[Red]\(#,##0\)"/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9" formatCode="yyyy/mm/dd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0" formatCode="General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general" vertical="center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numFmt numFmtId="176" formatCode="#,##0_);[Red]\(#,##0\)"/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I$6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Radio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입출고 내역 기록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</xdr:row>
          <xdr:rowOff>28575</xdr:rowOff>
        </xdr:from>
        <xdr:to>
          <xdr:col>6</xdr:col>
          <xdr:colOff>1200150</xdr:colOff>
          <xdr:row>1</xdr:row>
          <xdr:rowOff>228600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10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개 미만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1438275</xdr:colOff>
          <xdr:row>1</xdr:row>
          <xdr:rowOff>28575</xdr:rowOff>
        </xdr:from>
        <xdr:to>
          <xdr:col>7</xdr:col>
          <xdr:colOff>342900</xdr:colOff>
          <xdr:row>1</xdr:row>
          <xdr:rowOff>228600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20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개 미만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1</xdr:row>
          <xdr:rowOff>28575</xdr:rowOff>
        </xdr:from>
        <xdr:to>
          <xdr:col>8</xdr:col>
          <xdr:colOff>304800</xdr:colOff>
          <xdr:row>1</xdr:row>
          <xdr:rowOff>228600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30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개 미만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제품" displayName="제품" ref="A1:J78" totalsRowShown="0" headerRowDxfId="18" dataDxfId="17">
  <tableColumns count="10">
    <tableColumn id="1" name="제품번호" dataDxfId="16"/>
    <tableColumn id="2" name="제품" dataDxfId="15"/>
    <tableColumn id="3" name="공급업체" dataDxfId="14"/>
    <tableColumn id="4" name="분류" dataDxfId="13"/>
    <tableColumn id="5" name="단가" dataDxfId="12"/>
    <tableColumn id="10" name="이월" dataDxfId="4">
      <calculatedColumnFormula>SUMIFS(입출고[수량], 입출고[제품], B2, 입출고[구분], "이월")</calculatedColumnFormula>
    </tableColumn>
    <tableColumn id="7" name="입고" dataDxfId="3">
      <calculatedColumnFormula>SUMIFS(입출고[수량], 입출고[제품], B2, 입출고[구분], "입고")</calculatedColumnFormula>
    </tableColumn>
    <tableColumn id="8" name="출고" dataDxfId="2">
      <calculatedColumnFormula>SUMIFS(입출고[수량], 입출고[제품], B2, 입출고[구분], "출고")</calculatedColumnFormula>
    </tableColumn>
    <tableColumn id="6" name="손실" dataDxfId="1">
      <calculatedColumnFormula>SUMIFS(입출고[수량], 입출고[제품], B2, 입출고[구분], "손실")</calculatedColumnFormula>
    </tableColumn>
    <tableColumn id="9" name="현 재고" dataDxfId="0">
      <calculatedColumnFormula>제품[이월]+제품[입고]-제품[출고]-제품[손실]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입출고" displayName="입출고" ref="A1:E78" totalsRowShown="0" headerRowDxfId="11" headerRowBorderDxfId="10">
  <autoFilter ref="A1:E78"/>
  <tableColumns count="5">
    <tableColumn id="1" name="번호" dataDxfId="9"/>
    <tableColumn id="2" name="제품" dataDxfId="8"/>
    <tableColumn id="3" name="구분" dataDxfId="7"/>
    <tableColumn id="4" name="수량" dataDxfId="6"/>
    <tableColumn id="5" name="입출고일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8"/>
  <sheetViews>
    <sheetView tabSelected="1" workbookViewId="0">
      <pane ySplit="3630" topLeftCell="A68"/>
      <selection activeCell="J2" sqref="J2"/>
      <selection pane="bottomLeft" activeCell="M84" sqref="M84"/>
    </sheetView>
  </sheetViews>
  <sheetFormatPr defaultRowHeight="16.5" customHeight="1"/>
  <cols>
    <col min="1" max="1" width="9.25" style="3" bestFit="1" customWidth="1"/>
    <col min="2" max="2" width="24.875" style="3" bestFit="1" customWidth="1"/>
    <col min="3" max="3" width="14.375" style="4" bestFit="1" customWidth="1"/>
    <col min="4" max="4" width="9.625" style="4" bestFit="1" customWidth="1"/>
    <col min="5" max="5" width="9.5" style="3" bestFit="1" customWidth="1"/>
    <col min="6" max="6" width="9.5" style="3" customWidth="1"/>
    <col min="7" max="8" width="9.5" style="3" bestFit="1" customWidth="1"/>
    <col min="9" max="9" width="9.5" style="3" customWidth="1"/>
    <col min="10" max="10" width="12" style="3" bestFit="1" customWidth="1"/>
    <col min="11" max="16384" width="9" style="3"/>
  </cols>
  <sheetData>
    <row r="1" spans="1:13" ht="16.5" customHeight="1">
      <c r="A1" s="10" t="s">
        <v>115</v>
      </c>
      <c r="B1" s="10" t="s">
        <v>135</v>
      </c>
      <c r="C1" s="10" t="s">
        <v>116</v>
      </c>
      <c r="D1" s="10" t="s">
        <v>114</v>
      </c>
      <c r="E1" s="10" t="s">
        <v>117</v>
      </c>
      <c r="F1" s="10" t="s">
        <v>130</v>
      </c>
      <c r="G1" s="10" t="s">
        <v>120</v>
      </c>
      <c r="H1" s="10" t="s">
        <v>121</v>
      </c>
      <c r="I1" s="10" t="s">
        <v>129</v>
      </c>
      <c r="J1" s="10" t="s">
        <v>122</v>
      </c>
      <c r="L1"/>
      <c r="M1"/>
    </row>
    <row r="2" spans="1:13" ht="16.5" customHeight="1">
      <c r="A2" s="6">
        <v>1</v>
      </c>
      <c r="B2" s="7" t="s">
        <v>60</v>
      </c>
      <c r="C2" s="8" t="s">
        <v>88</v>
      </c>
      <c r="D2" s="8" t="s">
        <v>123</v>
      </c>
      <c r="E2" s="9">
        <v>80000</v>
      </c>
      <c r="F2" s="9">
        <f>SUMIFS(입출고[수량], 입출고[제품], B2, 입출고[구분], "이월")</f>
        <v>31</v>
      </c>
      <c r="G2" s="19">
        <f>SUMIFS(입출고[수량], 입출고[제품], B2, 입출고[구분], "입고")</f>
        <v>0</v>
      </c>
      <c r="H2" s="19">
        <f>SUMIFS(입출고[수량], 입출고[제품], B2, 입출고[구분], "출고")</f>
        <v>0</v>
      </c>
      <c r="I2" s="19">
        <f>SUMIFS(입출고[수량], 입출고[제품], B2, 입출고[구분], "손실")</f>
        <v>0</v>
      </c>
      <c r="J2" s="21">
        <f>제품[이월]+제품[입고]-제품[출고]-제품[손실]</f>
        <v>31</v>
      </c>
      <c r="L2"/>
      <c r="M2"/>
    </row>
    <row r="3" spans="1:13" ht="16.5" customHeight="1">
      <c r="A3" s="6">
        <v>2</v>
      </c>
      <c r="B3" s="7" t="s">
        <v>26</v>
      </c>
      <c r="C3" s="8" t="s">
        <v>85</v>
      </c>
      <c r="D3" s="8" t="s">
        <v>19</v>
      </c>
      <c r="E3" s="9">
        <v>19000</v>
      </c>
      <c r="F3" s="9">
        <f>SUMIFS(입출고[수량], 입출고[제품], B3, 입출고[구분], "이월")</f>
        <v>21</v>
      </c>
      <c r="G3" s="19">
        <f>SUMIFS(입출고[수량], 입출고[제품], B3, 입출고[구분], "입고")</f>
        <v>0</v>
      </c>
      <c r="H3" s="19">
        <f>SUMIFS(입출고[수량], 입출고[제품], B3, 입출고[구분], "출고")</f>
        <v>0</v>
      </c>
      <c r="I3" s="19">
        <f>SUMIFS(입출고[수량], 입출고[제품], B3, 입출고[구분], "손실")</f>
        <v>0</v>
      </c>
      <c r="J3" s="21">
        <f>제품[이월]+제품[입고]-제품[출고]-제품[손실]</f>
        <v>21</v>
      </c>
      <c r="L3"/>
      <c r="M3"/>
    </row>
    <row r="4" spans="1:13" ht="16.5" customHeight="1">
      <c r="A4" s="6">
        <v>3</v>
      </c>
      <c r="B4" s="7" t="s">
        <v>65</v>
      </c>
      <c r="C4" s="8" t="s">
        <v>85</v>
      </c>
      <c r="D4" s="8" t="s">
        <v>10</v>
      </c>
      <c r="E4" s="9">
        <v>10000</v>
      </c>
      <c r="F4" s="9">
        <f>SUMIFS(입출고[수량], 입출고[제품], B4, 입출고[구분], "이월")</f>
        <v>22</v>
      </c>
      <c r="G4" s="19">
        <f>SUMIFS(입출고[수량], 입출고[제품], B4, 입출고[구분], "입고")</f>
        <v>0</v>
      </c>
      <c r="H4" s="19">
        <f>SUMIFS(입출고[수량], 입출고[제품], B4, 입출고[구분], "출고")</f>
        <v>0</v>
      </c>
      <c r="I4" s="19">
        <f>SUMIFS(입출고[수량], 입출고[제품], B4, 입출고[구분], "손실")</f>
        <v>0</v>
      </c>
      <c r="J4" s="21">
        <f>제품[이월]+제품[입고]-제품[출고]-제품[손실]</f>
        <v>22</v>
      </c>
      <c r="L4"/>
      <c r="M4"/>
    </row>
    <row r="5" spans="1:13" ht="16.5" customHeight="1">
      <c r="A5" s="6">
        <v>4</v>
      </c>
      <c r="B5" s="7" t="s">
        <v>70</v>
      </c>
      <c r="C5" s="8" t="s">
        <v>86</v>
      </c>
      <c r="D5" s="8" t="s">
        <v>10</v>
      </c>
      <c r="E5" s="9">
        <v>22000</v>
      </c>
      <c r="F5" s="9">
        <f>SUMIFS(입출고[수량], 입출고[제품], B5, 입출고[구분], "이월")</f>
        <v>23</v>
      </c>
      <c r="G5" s="19">
        <f>SUMIFS(입출고[수량], 입출고[제품], B5, 입출고[구분], "입고")</f>
        <v>0</v>
      </c>
      <c r="H5" s="19">
        <f>SUMIFS(입출고[수량], 입출고[제품], B5, 입출고[구분], "출고")</f>
        <v>0</v>
      </c>
      <c r="I5" s="19">
        <f>SUMIFS(입출고[수량], 입출고[제품], B5, 입출고[구분], "손실")</f>
        <v>0</v>
      </c>
      <c r="J5" s="21">
        <f>제품[이월]+제품[입고]-제품[출고]-제품[손실]</f>
        <v>23</v>
      </c>
      <c r="L5"/>
      <c r="M5"/>
    </row>
    <row r="6" spans="1:13" ht="16.5" customHeight="1">
      <c r="A6" s="6">
        <v>5</v>
      </c>
      <c r="B6" s="7" t="s">
        <v>33</v>
      </c>
      <c r="C6" s="8" t="s">
        <v>86</v>
      </c>
      <c r="D6" s="8" t="s">
        <v>10</v>
      </c>
      <c r="E6" s="9">
        <v>21000</v>
      </c>
      <c r="F6" s="9">
        <f>SUMIFS(입출고[수량], 입출고[제품], B6, 입출고[구분], "이월")</f>
        <v>39</v>
      </c>
      <c r="G6" s="19">
        <f>SUMIFS(입출고[수량], 입출고[제품], B6, 입출고[구분], "입고")</f>
        <v>0</v>
      </c>
      <c r="H6" s="19">
        <f>SUMIFS(입출고[수량], 입출고[제품], B6, 입출고[구분], "출고")</f>
        <v>0</v>
      </c>
      <c r="I6" s="19">
        <f>SUMIFS(입출고[수량], 입출고[제품], B6, 입출고[구분], "손실")</f>
        <v>0</v>
      </c>
      <c r="J6" s="21">
        <f>제품[이월]+제품[입고]-제품[출고]-제품[손실]</f>
        <v>39</v>
      </c>
      <c r="L6"/>
      <c r="M6"/>
    </row>
    <row r="7" spans="1:13" ht="16.5" customHeight="1">
      <c r="A7" s="6">
        <v>6</v>
      </c>
      <c r="B7" s="7" t="s">
        <v>71</v>
      </c>
      <c r="C7" s="8" t="s">
        <v>87</v>
      </c>
      <c r="D7" s="8" t="s">
        <v>10</v>
      </c>
      <c r="E7" s="9">
        <v>25000</v>
      </c>
      <c r="F7" s="9">
        <f>SUMIFS(입출고[수량], 입출고[제품], B7, 입출고[구분], "이월")</f>
        <v>60</v>
      </c>
      <c r="G7" s="19">
        <f>SUMIFS(입출고[수량], 입출고[제품], B7, 입출고[구분], "입고")</f>
        <v>0</v>
      </c>
      <c r="H7" s="19">
        <f>SUMIFS(입출고[수량], 입출고[제품], B7, 입출고[구분], "출고")</f>
        <v>0</v>
      </c>
      <c r="I7" s="19">
        <f>SUMIFS(입출고[수량], 입출고[제품], B7, 입출고[구분], "손실")</f>
        <v>0</v>
      </c>
      <c r="J7" s="21">
        <f>제품[이월]+제품[입고]-제품[출고]-제품[손실]</f>
        <v>60</v>
      </c>
      <c r="L7"/>
      <c r="M7"/>
    </row>
    <row r="8" spans="1:13" ht="16.5" customHeight="1">
      <c r="A8" s="6">
        <v>7</v>
      </c>
      <c r="B8" s="7" t="s">
        <v>40</v>
      </c>
      <c r="C8" s="8" t="s">
        <v>87</v>
      </c>
      <c r="D8" s="8" t="s">
        <v>5</v>
      </c>
      <c r="E8" s="9">
        <v>30000</v>
      </c>
      <c r="F8" s="9">
        <f>SUMIFS(입출고[수량], 입출고[제품], B8, 입출고[구분], "이월")</f>
        <v>38</v>
      </c>
      <c r="G8" s="19">
        <f>SUMIFS(입출고[수량], 입출고[제품], B8, 입출고[구분], "입고")</f>
        <v>0</v>
      </c>
      <c r="H8" s="19">
        <f>SUMIFS(입출고[수량], 입출고[제품], B8, 입출고[구분], "출고")</f>
        <v>0</v>
      </c>
      <c r="I8" s="19">
        <f>SUMIFS(입출고[수량], 입출고[제품], B8, 입출고[구분], "손실")</f>
        <v>0</v>
      </c>
      <c r="J8" s="21">
        <f>제품[이월]+제품[입고]-제품[출고]-제품[손실]</f>
        <v>38</v>
      </c>
      <c r="L8"/>
      <c r="M8"/>
    </row>
    <row r="9" spans="1:13" ht="16.5" customHeight="1">
      <c r="A9" s="6">
        <v>8</v>
      </c>
      <c r="B9" s="7" t="s">
        <v>79</v>
      </c>
      <c r="C9" s="8" t="s">
        <v>87</v>
      </c>
      <c r="D9" s="8" t="s">
        <v>10</v>
      </c>
      <c r="E9" s="9">
        <v>40000</v>
      </c>
      <c r="F9" s="9">
        <f>SUMIFS(입출고[수량], 입출고[제품], B9, 입출고[구분], "이월")</f>
        <v>39</v>
      </c>
      <c r="G9" s="19">
        <f>SUMIFS(입출고[수량], 입출고[제품], B9, 입출고[구분], "입고")</f>
        <v>0</v>
      </c>
      <c r="H9" s="19">
        <f>SUMIFS(입출고[수량], 입출고[제품], B9, 입출고[구분], "출고")</f>
        <v>0</v>
      </c>
      <c r="I9" s="19">
        <f>SUMIFS(입출고[수량], 입출고[제품], B9, 입출고[구분], "손실")</f>
        <v>0</v>
      </c>
      <c r="J9" s="21">
        <f>제품[이월]+제품[입고]-제품[출고]-제품[손실]</f>
        <v>39</v>
      </c>
      <c r="L9"/>
      <c r="M9"/>
    </row>
    <row r="10" spans="1:13" ht="16.5" customHeight="1">
      <c r="A10" s="6">
        <v>9</v>
      </c>
      <c r="B10" s="7" t="s">
        <v>84</v>
      </c>
      <c r="C10" s="8" t="s">
        <v>88</v>
      </c>
      <c r="D10" s="8" t="s">
        <v>23</v>
      </c>
      <c r="E10" s="9">
        <v>97000</v>
      </c>
      <c r="F10" s="9">
        <f>SUMIFS(입출고[수량], 입출고[제품], B10, 입출고[구분], "이월")</f>
        <v>29</v>
      </c>
      <c r="G10" s="19">
        <f>SUMIFS(입출고[수량], 입출고[제품], B10, 입출고[구분], "입고")</f>
        <v>0</v>
      </c>
      <c r="H10" s="19">
        <f>SUMIFS(입출고[수량], 입출고[제품], B10, 입출고[구분], "출고")</f>
        <v>0</v>
      </c>
      <c r="I10" s="19">
        <f>SUMIFS(입출고[수량], 입출고[제품], B10, 입출고[구분], "손실")</f>
        <v>0</v>
      </c>
      <c r="J10" s="21">
        <f>제품[이월]+제품[입고]-제품[출고]-제품[손실]</f>
        <v>29</v>
      </c>
      <c r="L10"/>
      <c r="M10"/>
    </row>
    <row r="11" spans="1:13" ht="16.5" customHeight="1">
      <c r="A11" s="6">
        <v>10</v>
      </c>
      <c r="B11" s="7" t="s">
        <v>49</v>
      </c>
      <c r="C11" s="8" t="s">
        <v>88</v>
      </c>
      <c r="D11" s="8" t="s">
        <v>8</v>
      </c>
      <c r="E11" s="9">
        <v>31000</v>
      </c>
      <c r="F11" s="9">
        <f>SUMIFS(입출고[수량], 입출고[제품], B11, 입출고[구분], "이월")</f>
        <v>60</v>
      </c>
      <c r="G11" s="19">
        <f>SUMIFS(입출고[수량], 입출고[제품], B11, 입출고[구분], "입고")</f>
        <v>0</v>
      </c>
      <c r="H11" s="19">
        <f>SUMIFS(입출고[수량], 입출고[제품], B11, 입출고[구분], "출고")</f>
        <v>0</v>
      </c>
      <c r="I11" s="19">
        <f>SUMIFS(입출고[수량], 입출고[제품], B11, 입출고[구분], "손실")</f>
        <v>0</v>
      </c>
      <c r="J11" s="21">
        <f>제품[이월]+제품[입고]-제품[출고]-제품[손실]</f>
        <v>60</v>
      </c>
      <c r="L11"/>
      <c r="M11"/>
    </row>
    <row r="12" spans="1:13" ht="16.5" customHeight="1">
      <c r="A12" s="6">
        <v>11</v>
      </c>
      <c r="B12" s="7" t="s">
        <v>1</v>
      </c>
      <c r="C12" s="8" t="s">
        <v>89</v>
      </c>
      <c r="D12" s="8" t="s">
        <v>123</v>
      </c>
      <c r="E12" s="9">
        <v>21000</v>
      </c>
      <c r="F12" s="9">
        <f>SUMIFS(입출고[수량], 입출고[제품], B12, 입출고[구분], "이월")</f>
        <v>13</v>
      </c>
      <c r="G12" s="19">
        <f>SUMIFS(입출고[수량], 입출고[제품], B12, 입출고[구분], "입고")</f>
        <v>0</v>
      </c>
      <c r="H12" s="19">
        <f>SUMIFS(입출고[수량], 입출고[제품], B12, 입출고[구분], "출고")</f>
        <v>0</v>
      </c>
      <c r="I12" s="19">
        <f>SUMIFS(입출고[수량], 입출고[제품], B12, 입출고[구분], "손실")</f>
        <v>0</v>
      </c>
      <c r="J12" s="21">
        <f>제품[이월]+제품[입고]-제품[출고]-제품[손실]</f>
        <v>13</v>
      </c>
      <c r="L12"/>
      <c r="M12"/>
    </row>
    <row r="13" spans="1:13" ht="16.5" customHeight="1">
      <c r="A13" s="6">
        <v>12</v>
      </c>
      <c r="B13" s="7" t="s">
        <v>44</v>
      </c>
      <c r="C13" s="8" t="s">
        <v>89</v>
      </c>
      <c r="D13" s="8" t="s">
        <v>0</v>
      </c>
      <c r="E13" s="9">
        <v>13800</v>
      </c>
      <c r="F13" s="9">
        <f>SUMIFS(입출고[수량], 입출고[제품], B13, 입출고[구분], "이월")</f>
        <v>60</v>
      </c>
      <c r="G13" s="19">
        <f>SUMIFS(입출고[수량], 입출고[제품], B13, 입출고[구분], "입고")</f>
        <v>0</v>
      </c>
      <c r="H13" s="19">
        <f>SUMIFS(입출고[수량], 입출고[제품], B13, 입출고[구분], "출고")</f>
        <v>0</v>
      </c>
      <c r="I13" s="19">
        <f>SUMIFS(입출고[수량], 입출고[제품], B13, 입출고[구분], "손실")</f>
        <v>0</v>
      </c>
      <c r="J13" s="21">
        <f>제품[이월]+제품[입고]-제품[출고]-제품[손실]</f>
        <v>60</v>
      </c>
      <c r="L13"/>
      <c r="M13"/>
    </row>
    <row r="14" spans="1:13" ht="16.5" customHeight="1">
      <c r="A14" s="6">
        <v>13</v>
      </c>
      <c r="B14" s="7" t="s">
        <v>51</v>
      </c>
      <c r="C14" s="8" t="s">
        <v>90</v>
      </c>
      <c r="D14" s="8" t="s">
        <v>8</v>
      </c>
      <c r="E14" s="9">
        <v>16000</v>
      </c>
      <c r="F14" s="9">
        <f>SUMIFS(입출고[수량], 입출고[제품], B14, 입출고[구분], "이월")</f>
        <v>76</v>
      </c>
      <c r="G14" s="19">
        <f>SUMIFS(입출고[수량], 입출고[제품], B14, 입출고[구분], "입고")</f>
        <v>0</v>
      </c>
      <c r="H14" s="19">
        <f>SUMIFS(입출고[수량], 입출고[제품], B14, 입출고[구분], "출고")</f>
        <v>0</v>
      </c>
      <c r="I14" s="19">
        <f>SUMIFS(입출고[수량], 입출고[제품], B14, 입출고[구분], "손실")</f>
        <v>0</v>
      </c>
      <c r="J14" s="21">
        <f>제품[이월]+제품[입고]-제품[출고]-제품[손실]</f>
        <v>76</v>
      </c>
      <c r="L14"/>
      <c r="M14"/>
    </row>
    <row r="15" spans="1:13" ht="16.5" customHeight="1">
      <c r="A15" s="6">
        <v>14</v>
      </c>
      <c r="B15" s="7" t="s">
        <v>6</v>
      </c>
      <c r="C15" s="8" t="s">
        <v>90</v>
      </c>
      <c r="D15" s="8" t="s">
        <v>5</v>
      </c>
      <c r="E15" s="9">
        <v>23000</v>
      </c>
      <c r="F15" s="9">
        <f>SUMIFS(입출고[수량], 입출고[제품], B15, 입출고[구분], "이월")</f>
        <v>66</v>
      </c>
      <c r="G15" s="19">
        <f>SUMIFS(입출고[수량], 입출고[제품], B15, 입출고[구분], "입고")</f>
        <v>0</v>
      </c>
      <c r="H15" s="19">
        <f>SUMIFS(입출고[수량], 입출고[제품], B15, 입출고[구분], "출고")</f>
        <v>0</v>
      </c>
      <c r="I15" s="19">
        <f>SUMIFS(입출고[수량], 입출고[제품], B15, 입출고[구분], "손실")</f>
        <v>0</v>
      </c>
      <c r="J15" s="21">
        <f>제품[이월]+제품[입고]-제품[출고]-제품[손실]</f>
        <v>66</v>
      </c>
      <c r="L15"/>
      <c r="M15"/>
    </row>
    <row r="16" spans="1:13" ht="16.5" customHeight="1">
      <c r="A16" s="6">
        <v>15</v>
      </c>
      <c r="B16" s="7" t="s">
        <v>58</v>
      </c>
      <c r="C16" s="8" t="s">
        <v>90</v>
      </c>
      <c r="D16" s="8" t="s">
        <v>10</v>
      </c>
      <c r="E16" s="9">
        <v>15000</v>
      </c>
      <c r="F16" s="9">
        <f>SUMIFS(입출고[수량], 입출고[제품], B16, 입출고[구분], "이월")</f>
        <v>55</v>
      </c>
      <c r="G16" s="19">
        <f>SUMIFS(입출고[수량], 입출고[제품], B16, 입출고[구분], "입고")</f>
        <v>0</v>
      </c>
      <c r="H16" s="19">
        <f>SUMIFS(입출고[수량], 입출고[제품], B16, 입출고[구분], "출고")</f>
        <v>0</v>
      </c>
      <c r="I16" s="19">
        <f>SUMIFS(입출고[수량], 입출고[제품], B16, 입출고[구분], "손실")</f>
        <v>0</v>
      </c>
      <c r="J16" s="21">
        <f>제품[이월]+제품[입고]-제품[출고]-제품[손실]</f>
        <v>55</v>
      </c>
      <c r="L16"/>
      <c r="M16"/>
    </row>
    <row r="17" spans="1:13" ht="16.5" customHeight="1">
      <c r="A17" s="6">
        <v>16</v>
      </c>
      <c r="B17" s="7" t="s">
        <v>27</v>
      </c>
      <c r="C17" s="8" t="s">
        <v>91</v>
      </c>
      <c r="D17" s="8" t="s">
        <v>14</v>
      </c>
      <c r="E17" s="9">
        <v>17000</v>
      </c>
      <c r="F17" s="9">
        <f>SUMIFS(입출고[수량], 입출고[제품], B17, 입출고[구분], "이월")</f>
        <v>46</v>
      </c>
      <c r="G17" s="19">
        <f>SUMIFS(입출고[수량], 입출고[제품], B17, 입출고[구분], "입고")</f>
        <v>0</v>
      </c>
      <c r="H17" s="19">
        <f>SUMIFS(입출고[수량], 입출고[제품], B17, 입출고[구분], "출고")</f>
        <v>0</v>
      </c>
      <c r="I17" s="19">
        <f>SUMIFS(입출고[수량], 입출고[제품], B17, 입출고[구분], "손실")</f>
        <v>0</v>
      </c>
      <c r="J17" s="21">
        <f>제품[이월]+제품[입고]-제품[출고]-제품[손실]</f>
        <v>46</v>
      </c>
      <c r="L17"/>
      <c r="M17"/>
    </row>
    <row r="18" spans="1:13" ht="16.5" customHeight="1">
      <c r="A18" s="6">
        <v>17</v>
      </c>
      <c r="B18" s="7" t="s">
        <v>43</v>
      </c>
      <c r="C18" s="8" t="s">
        <v>91</v>
      </c>
      <c r="D18" s="8" t="s">
        <v>23</v>
      </c>
      <c r="E18" s="9">
        <v>39000</v>
      </c>
      <c r="F18" s="9">
        <f>SUMIFS(입출고[수량], 입출고[제품], B18, 입출고[구분], "이월")</f>
        <v>62</v>
      </c>
      <c r="G18" s="19">
        <f>SUMIFS(입출고[수량], 입출고[제품], B18, 입출고[구분], "입고")</f>
        <v>0</v>
      </c>
      <c r="H18" s="19">
        <f>SUMIFS(입출고[수량], 입출고[제품], B18, 입출고[구분], "출고")</f>
        <v>0</v>
      </c>
      <c r="I18" s="19">
        <f>SUMIFS(입출고[수량], 입출고[제품], B18, 입출고[구분], "손실")</f>
        <v>0</v>
      </c>
      <c r="J18" s="21">
        <f>제품[이월]+제품[입고]-제품[출고]-제품[손실]</f>
        <v>62</v>
      </c>
      <c r="L18"/>
      <c r="M18"/>
    </row>
    <row r="19" spans="1:13" ht="16.5" customHeight="1">
      <c r="A19" s="6">
        <v>18</v>
      </c>
      <c r="B19" s="7" t="s">
        <v>67</v>
      </c>
      <c r="C19" s="8" t="s">
        <v>91</v>
      </c>
      <c r="D19" s="8" t="s">
        <v>8</v>
      </c>
      <c r="E19" s="9">
        <v>62000</v>
      </c>
      <c r="F19" s="9">
        <f>SUMIFS(입출고[수량], 입출고[제품], B19, 입출고[구분], "이월")</f>
        <v>22</v>
      </c>
      <c r="G19" s="19">
        <f>SUMIFS(입출고[수량], 입출고[제품], B19, 입출고[구분], "입고")</f>
        <v>0</v>
      </c>
      <c r="H19" s="19">
        <f>SUMIFS(입출고[수량], 입출고[제품], B19, 입출고[구분], "출고")</f>
        <v>0</v>
      </c>
      <c r="I19" s="19">
        <f>SUMIFS(입출고[수량], 입출고[제품], B19, 입출고[구분], "손실")</f>
        <v>0</v>
      </c>
      <c r="J19" s="21">
        <f>제품[이월]+제품[입고]-제품[출고]-제품[손실]</f>
        <v>22</v>
      </c>
      <c r="L19"/>
      <c r="M19"/>
    </row>
    <row r="20" spans="1:13" ht="16.5" customHeight="1">
      <c r="A20" s="6">
        <v>19</v>
      </c>
      <c r="B20" s="7" t="s">
        <v>57</v>
      </c>
      <c r="C20" s="8" t="s">
        <v>92</v>
      </c>
      <c r="D20" s="8" t="s">
        <v>14</v>
      </c>
      <c r="E20" s="9">
        <v>19000</v>
      </c>
      <c r="F20" s="9">
        <f>SUMIFS(입출고[수량], 입출고[제품], B20, 입출고[구분], "이월")</f>
        <v>47</v>
      </c>
      <c r="G20" s="19">
        <f>SUMIFS(입출고[수량], 입출고[제품], B20, 입출고[구분], "입고")</f>
        <v>0</v>
      </c>
      <c r="H20" s="19">
        <f>SUMIFS(입출고[수량], 입출고[제품], B20, 입출고[구분], "출고")</f>
        <v>0</v>
      </c>
      <c r="I20" s="19">
        <f>SUMIFS(입출고[수량], 입출고[제품], B20, 입출고[구분], "손실")</f>
        <v>0</v>
      </c>
      <c r="J20" s="21">
        <f>제품[이월]+제품[입고]-제품[출고]-제품[손실]</f>
        <v>47</v>
      </c>
      <c r="L20"/>
      <c r="M20"/>
    </row>
    <row r="21" spans="1:13" ht="16.5" customHeight="1">
      <c r="A21" s="6">
        <v>20</v>
      </c>
      <c r="B21" s="7" t="s">
        <v>15</v>
      </c>
      <c r="C21" s="8" t="s">
        <v>92</v>
      </c>
      <c r="D21" s="8" t="s">
        <v>14</v>
      </c>
      <c r="E21" s="9">
        <v>81000</v>
      </c>
      <c r="F21" s="9">
        <f>SUMIFS(입출고[수량], 입출고[제품], B21, 입출고[구분], "이월")</f>
        <v>65</v>
      </c>
      <c r="G21" s="19">
        <f>SUMIFS(입출고[수량], 입출고[제품], B21, 입출고[구분], "입고")</f>
        <v>0</v>
      </c>
      <c r="H21" s="19">
        <f>SUMIFS(입출고[수량], 입출고[제품], B21, 입출고[구분], "출고")</f>
        <v>0</v>
      </c>
      <c r="I21" s="19">
        <f>SUMIFS(입출고[수량], 입출고[제품], B21, 입출고[구분], "손실")</f>
        <v>0</v>
      </c>
      <c r="J21" s="21">
        <f>제품[이월]+제품[입고]-제품[출고]-제품[손실]</f>
        <v>65</v>
      </c>
      <c r="L21"/>
      <c r="M21"/>
    </row>
    <row r="22" spans="1:13" ht="16.5" customHeight="1">
      <c r="A22" s="6">
        <v>21</v>
      </c>
      <c r="B22" s="7" t="s">
        <v>35</v>
      </c>
      <c r="C22" s="8" t="s">
        <v>92</v>
      </c>
      <c r="D22" s="8" t="s">
        <v>14</v>
      </c>
      <c r="E22" s="9">
        <v>10000</v>
      </c>
      <c r="F22" s="9">
        <f>SUMIFS(입출고[수량], 입출고[제품], B22, 입출고[구분], "이월")</f>
        <v>94</v>
      </c>
      <c r="G22" s="19">
        <f>SUMIFS(입출고[수량], 입출고[제품], B22, 입출고[구분], "입고")</f>
        <v>0</v>
      </c>
      <c r="H22" s="19">
        <f>SUMIFS(입출고[수량], 입출고[제품], B22, 입출고[구분], "출고")</f>
        <v>0</v>
      </c>
      <c r="I22" s="19">
        <f>SUMIFS(입출고[수량], 입출고[제품], B22, 입출고[구분], "손실")</f>
        <v>0</v>
      </c>
      <c r="J22" s="21">
        <f>제품[이월]+제품[입고]-제품[출고]-제품[손실]</f>
        <v>94</v>
      </c>
      <c r="L22"/>
      <c r="M22"/>
    </row>
    <row r="23" spans="1:13" ht="16.5" customHeight="1">
      <c r="A23" s="6">
        <v>22</v>
      </c>
      <c r="B23" s="7" t="s">
        <v>12</v>
      </c>
      <c r="C23" s="8" t="s">
        <v>93</v>
      </c>
      <c r="D23" s="8" t="s">
        <v>2</v>
      </c>
      <c r="E23" s="9">
        <v>21000</v>
      </c>
      <c r="F23" s="9">
        <f>SUMIFS(입출고[수량], 입출고[제품], B23, 입출고[구분], "이월")</f>
        <v>27</v>
      </c>
      <c r="G23" s="19">
        <f>SUMIFS(입출고[수량], 입출고[제품], B23, 입출고[구분], "입고")</f>
        <v>0</v>
      </c>
      <c r="H23" s="19">
        <f>SUMIFS(입출고[수량], 입출고[제품], B23, 입출고[구분], "출고")</f>
        <v>0</v>
      </c>
      <c r="I23" s="19">
        <f>SUMIFS(입출고[수량], 입출고[제품], B23, 입출고[구분], "손실")</f>
        <v>0</v>
      </c>
      <c r="J23" s="21">
        <f>제품[이월]+제품[입고]-제품[출고]-제품[손실]</f>
        <v>27</v>
      </c>
      <c r="L23"/>
      <c r="M23"/>
    </row>
    <row r="24" spans="1:13" ht="16.5" customHeight="1">
      <c r="A24" s="6">
        <v>23</v>
      </c>
      <c r="B24" s="7" t="s">
        <v>78</v>
      </c>
      <c r="C24" s="8" t="s">
        <v>93</v>
      </c>
      <c r="D24" s="8" t="s">
        <v>2</v>
      </c>
      <c r="E24" s="9">
        <v>9000</v>
      </c>
      <c r="F24" s="9">
        <f>SUMIFS(입출고[수량], 입출고[제품], B24, 입출고[구분], "이월")</f>
        <v>71</v>
      </c>
      <c r="G24" s="19">
        <f>SUMIFS(입출고[수량], 입출고[제품], B24, 입출고[구분], "입고")</f>
        <v>0</v>
      </c>
      <c r="H24" s="19">
        <f>SUMIFS(입출고[수량], 입출고[제품], B24, 입출고[구분], "출고")</f>
        <v>0</v>
      </c>
      <c r="I24" s="19">
        <f>SUMIFS(입출고[수량], 입출고[제품], B24, 입출고[구분], "손실")</f>
        <v>0</v>
      </c>
      <c r="J24" s="21">
        <f>제품[이월]+제품[입고]-제품[출고]-제품[손실]</f>
        <v>71</v>
      </c>
      <c r="L24"/>
      <c r="M24"/>
    </row>
    <row r="25" spans="1:13" ht="16.5" customHeight="1">
      <c r="A25" s="6">
        <v>24</v>
      </c>
      <c r="B25" s="7" t="s">
        <v>22</v>
      </c>
      <c r="C25" s="8" t="s">
        <v>94</v>
      </c>
      <c r="D25" s="8" t="s">
        <v>19</v>
      </c>
      <c r="E25" s="9">
        <v>6000</v>
      </c>
      <c r="F25" s="9">
        <f>SUMIFS(입출고[수량], 입출고[제품], B25, 입출고[구분], "이월")</f>
        <v>17</v>
      </c>
      <c r="G25" s="19">
        <f>SUMIFS(입출고[수량], 입출고[제품], B25, 입출고[구분], "입고")</f>
        <v>0</v>
      </c>
      <c r="H25" s="19">
        <f>SUMIFS(입출고[수량], 입출고[제품], B25, 입출고[구분], "출고")</f>
        <v>0</v>
      </c>
      <c r="I25" s="19">
        <f>SUMIFS(입출고[수량], 입출고[제품], B25, 입출고[구분], "손실")</f>
        <v>0</v>
      </c>
      <c r="J25" s="21">
        <f>제품[이월]+제품[입고]-제품[출고]-제품[손실]</f>
        <v>17</v>
      </c>
      <c r="L25"/>
      <c r="M25"/>
    </row>
    <row r="26" spans="1:13" ht="16.5" customHeight="1">
      <c r="A26" s="6">
        <v>25</v>
      </c>
      <c r="B26" s="7" t="s">
        <v>74</v>
      </c>
      <c r="C26" s="8" t="s">
        <v>95</v>
      </c>
      <c r="D26" s="8" t="s">
        <v>14</v>
      </c>
      <c r="E26" s="9">
        <v>14000</v>
      </c>
      <c r="F26" s="9">
        <f>SUMIFS(입출고[수량], 입출고[제품], B26, 입출고[구분], "이월")</f>
        <v>72</v>
      </c>
      <c r="G26" s="19">
        <f>SUMIFS(입출고[수량], 입출고[제품], B26, 입출고[구분], "입고")</f>
        <v>0</v>
      </c>
      <c r="H26" s="19">
        <f>SUMIFS(입출고[수량], 입출고[제품], B26, 입출고[구분], "출고")</f>
        <v>0</v>
      </c>
      <c r="I26" s="19">
        <f>SUMIFS(입출고[수량], 입출고[제품], B26, 입출고[구분], "손실")</f>
        <v>0</v>
      </c>
      <c r="J26" s="21">
        <f>제품[이월]+제품[입고]-제품[출고]-제품[손실]</f>
        <v>72</v>
      </c>
      <c r="L26"/>
      <c r="M26"/>
    </row>
    <row r="27" spans="1:13" ht="16.5" customHeight="1">
      <c r="A27" s="6">
        <v>26</v>
      </c>
      <c r="B27" s="7" t="s">
        <v>76</v>
      </c>
      <c r="C27" s="8" t="s">
        <v>95</v>
      </c>
      <c r="D27" s="8" t="s">
        <v>14</v>
      </c>
      <c r="E27" s="9">
        <v>31000</v>
      </c>
      <c r="F27" s="9">
        <f>SUMIFS(입출고[수량], 입출고[제품], B27, 입출고[구분], "이월")</f>
        <v>43</v>
      </c>
      <c r="G27" s="19">
        <f>SUMIFS(입출고[수량], 입출고[제품], B27, 입출고[구분], "입고")</f>
        <v>0</v>
      </c>
      <c r="H27" s="19">
        <f>SUMIFS(입출고[수량], 입출고[제품], B27, 입출고[구분], "출고")</f>
        <v>0</v>
      </c>
      <c r="I27" s="19">
        <f>SUMIFS(입출고[수량], 입출고[제품], B27, 입출고[구분], "손실")</f>
        <v>0</v>
      </c>
      <c r="J27" s="21">
        <f>제품[이월]+제품[입고]-제품[출고]-제품[손실]</f>
        <v>43</v>
      </c>
      <c r="L27"/>
      <c r="M27"/>
    </row>
    <row r="28" spans="1:13" ht="16.5" customHeight="1">
      <c r="A28" s="6">
        <v>27</v>
      </c>
      <c r="B28" s="7" t="s">
        <v>32</v>
      </c>
      <c r="C28" s="8" t="s">
        <v>95</v>
      </c>
      <c r="D28" s="8" t="s">
        <v>14</v>
      </c>
      <c r="E28" s="9">
        <v>43000</v>
      </c>
      <c r="F28" s="9">
        <f>SUMIFS(입출고[수량], 입출고[제품], B28, 입출고[구분], "이월")</f>
        <v>36</v>
      </c>
      <c r="G28" s="19">
        <f>SUMIFS(입출고[수량], 입출고[제품], B28, 입출고[구분], "입고")</f>
        <v>0</v>
      </c>
      <c r="H28" s="19">
        <f>SUMIFS(입출고[수량], 입출고[제품], B28, 입출고[구분], "출고")</f>
        <v>0</v>
      </c>
      <c r="I28" s="19">
        <f>SUMIFS(입출고[수량], 입출고[제품], B28, 입출고[구분], "손실")</f>
        <v>0</v>
      </c>
      <c r="J28" s="21">
        <f>제품[이월]+제품[입고]-제품[출고]-제품[손실]</f>
        <v>36</v>
      </c>
      <c r="L28"/>
      <c r="M28"/>
    </row>
    <row r="29" spans="1:13" ht="16.5" customHeight="1">
      <c r="A29" s="6">
        <v>28</v>
      </c>
      <c r="B29" s="7" t="s">
        <v>52</v>
      </c>
      <c r="C29" s="8" t="s">
        <v>96</v>
      </c>
      <c r="D29" s="8" t="s">
        <v>5</v>
      </c>
      <c r="E29" s="9">
        <v>15000</v>
      </c>
      <c r="F29" s="9">
        <f>SUMIFS(입출고[수량], 입출고[제품], B29, 입출고[구분], "이월")</f>
        <v>18</v>
      </c>
      <c r="G29" s="19">
        <f>SUMIFS(입출고[수량], 입출고[제품], B29, 입출고[구분], "입고")</f>
        <v>0</v>
      </c>
      <c r="H29" s="19">
        <f>SUMIFS(입출고[수량], 입출고[제품], B29, 입출고[구분], "출고")</f>
        <v>0</v>
      </c>
      <c r="I29" s="19">
        <f>SUMIFS(입출고[수량], 입출고[제품], B29, 입출고[구분], "손실")</f>
        <v>0</v>
      </c>
      <c r="J29" s="21">
        <f>제품[이월]+제품[입고]-제품[출고]-제품[손실]</f>
        <v>18</v>
      </c>
      <c r="L29"/>
      <c r="M29"/>
    </row>
    <row r="30" spans="1:13" ht="16.5" customHeight="1">
      <c r="A30" s="6">
        <v>29</v>
      </c>
      <c r="B30" s="7" t="s">
        <v>47</v>
      </c>
      <c r="C30" s="8" t="s">
        <v>96</v>
      </c>
      <c r="D30" s="8" t="s">
        <v>23</v>
      </c>
      <c r="E30" s="9">
        <v>123000</v>
      </c>
      <c r="F30" s="9">
        <f>SUMIFS(입출고[수량], 입출고[제품], B30, 입출고[구분], "이월")</f>
        <v>46</v>
      </c>
      <c r="G30" s="19">
        <f>SUMIFS(입출고[수량], 입출고[제품], B30, 입출고[구분], "입고")</f>
        <v>0</v>
      </c>
      <c r="H30" s="19">
        <f>SUMIFS(입출고[수량], 입출고[제품], B30, 입출고[구분], "출고")</f>
        <v>0</v>
      </c>
      <c r="I30" s="19">
        <f>SUMIFS(입출고[수량], 입출고[제품], B30, 입출고[구분], "손실")</f>
        <v>0</v>
      </c>
      <c r="J30" s="21">
        <f>제품[이월]+제품[입고]-제품[출고]-제품[손실]</f>
        <v>46</v>
      </c>
      <c r="L30"/>
      <c r="M30"/>
    </row>
    <row r="31" spans="1:13" ht="16.5" customHeight="1">
      <c r="A31" s="6">
        <v>30</v>
      </c>
      <c r="B31" s="7" t="s">
        <v>42</v>
      </c>
      <c r="C31" s="8" t="s">
        <v>97</v>
      </c>
      <c r="D31" s="8" t="s">
        <v>8</v>
      </c>
      <c r="E31" s="9">
        <v>25000</v>
      </c>
      <c r="F31" s="9">
        <f>SUMIFS(입출고[수량], 입출고[제품], B31, 입출고[구분], "이월")</f>
        <v>100</v>
      </c>
      <c r="G31" s="19">
        <f>SUMIFS(입출고[수량], 입출고[제품], B31, 입출고[구분], "입고")</f>
        <v>0</v>
      </c>
      <c r="H31" s="19">
        <f>SUMIFS(입출고[수량], 입출고[제품], B31, 입출고[구분], "출고")</f>
        <v>0</v>
      </c>
      <c r="I31" s="19">
        <f>SUMIFS(입출고[수량], 입출고[제품], B31, 입출고[구분], "손실")</f>
        <v>0</v>
      </c>
      <c r="J31" s="21">
        <f>제품[이월]+제품[입고]-제품[출고]-제품[손실]</f>
        <v>100</v>
      </c>
      <c r="L31"/>
      <c r="M31"/>
    </row>
    <row r="32" spans="1:13" ht="16.5" customHeight="1">
      <c r="A32" s="6">
        <v>31</v>
      </c>
      <c r="B32" s="7" t="s">
        <v>18</v>
      </c>
      <c r="C32" s="8" t="s">
        <v>98</v>
      </c>
      <c r="D32" s="8" t="s">
        <v>0</v>
      </c>
      <c r="E32" s="9">
        <v>12000</v>
      </c>
      <c r="F32" s="9">
        <f>SUMIFS(입출고[수량], 입출고[제품], B32, 입출고[구분], "이월")</f>
        <v>28</v>
      </c>
      <c r="G32" s="19">
        <f>SUMIFS(입출고[수량], 입출고[제품], B32, 입출고[구분], "입고")</f>
        <v>0</v>
      </c>
      <c r="H32" s="19">
        <f>SUMIFS(입출고[수량], 입출고[제품], B32, 입출고[구분], "출고")</f>
        <v>0</v>
      </c>
      <c r="I32" s="19">
        <f>SUMIFS(입출고[수량], 입출고[제품], B32, 입출고[구분], "손실")</f>
        <v>0</v>
      </c>
      <c r="J32" s="21">
        <f>제품[이월]+제품[입고]-제품[출고]-제품[손실]</f>
        <v>28</v>
      </c>
      <c r="L32"/>
      <c r="M32"/>
    </row>
    <row r="33" spans="1:13" ht="16.5" customHeight="1">
      <c r="A33" s="6">
        <v>32</v>
      </c>
      <c r="B33" s="7" t="s">
        <v>34</v>
      </c>
      <c r="C33" s="8" t="s">
        <v>98</v>
      </c>
      <c r="D33" s="8" t="s">
        <v>0</v>
      </c>
      <c r="E33" s="9">
        <v>32000</v>
      </c>
      <c r="F33" s="9">
        <f>SUMIFS(입출고[수량], 입출고[제품], B33, 입출고[구분], "이월")</f>
        <v>11</v>
      </c>
      <c r="G33" s="19">
        <f>SUMIFS(입출고[수량], 입출고[제품], B33, 입출고[구분], "입고")</f>
        <v>0</v>
      </c>
      <c r="H33" s="19">
        <f>SUMIFS(입출고[수량], 입출고[제품], B33, 입출고[구분], "출고")</f>
        <v>0</v>
      </c>
      <c r="I33" s="19">
        <f>SUMIFS(입출고[수량], 입출고[제품], B33, 입출고[구분], "손실")</f>
        <v>0</v>
      </c>
      <c r="J33" s="21">
        <f>제품[이월]+제품[입고]-제품[출고]-제품[손실]</f>
        <v>11</v>
      </c>
      <c r="L33"/>
      <c r="M33"/>
    </row>
    <row r="34" spans="1:13" ht="16.5" customHeight="1">
      <c r="A34" s="6">
        <v>33</v>
      </c>
      <c r="B34" s="7" t="s">
        <v>16</v>
      </c>
      <c r="C34" s="8" t="s">
        <v>99</v>
      </c>
      <c r="D34" s="8" t="s">
        <v>0</v>
      </c>
      <c r="E34" s="9">
        <v>2000</v>
      </c>
      <c r="F34" s="9">
        <f>SUMIFS(입출고[수량], 입출고[제품], B34, 입출고[구분], "이월")</f>
        <v>45</v>
      </c>
      <c r="G34" s="19">
        <f>SUMIFS(입출고[수량], 입출고[제품], B34, 입출고[구분], "입고")</f>
        <v>0</v>
      </c>
      <c r="H34" s="19">
        <f>SUMIFS(입출고[수량], 입출고[제품], B34, 입출고[구분], "출고")</f>
        <v>0</v>
      </c>
      <c r="I34" s="19">
        <f>SUMIFS(입출고[수량], 입출고[제품], B34, 입출고[구분], "손실")</f>
        <v>0</v>
      </c>
      <c r="J34" s="21">
        <f>제품[이월]+제품[입고]-제품[출고]-제품[손실]</f>
        <v>45</v>
      </c>
      <c r="L34"/>
      <c r="M34"/>
    </row>
    <row r="35" spans="1:13" ht="16.5" customHeight="1">
      <c r="A35" s="6">
        <v>34</v>
      </c>
      <c r="B35" s="7" t="s">
        <v>61</v>
      </c>
      <c r="C35" s="8" t="s">
        <v>100</v>
      </c>
      <c r="D35" s="8" t="s">
        <v>19</v>
      </c>
      <c r="E35" s="9">
        <v>34000</v>
      </c>
      <c r="F35" s="9">
        <f>SUMIFS(입출고[수량], 입출고[제품], B35, 입출고[구분], "이월")</f>
        <v>39</v>
      </c>
      <c r="G35" s="19">
        <f>SUMIFS(입출고[수량], 입출고[제품], B35, 입출고[구분], "입고")</f>
        <v>0</v>
      </c>
      <c r="H35" s="19">
        <f>SUMIFS(입출고[수량], 입출고[제품], B35, 입출고[구분], "출고")</f>
        <v>0</v>
      </c>
      <c r="I35" s="19">
        <f>SUMIFS(입출고[수량], 입출고[제품], B35, 입출고[구분], "손실")</f>
        <v>0</v>
      </c>
      <c r="J35" s="21">
        <f>제품[이월]+제품[입고]-제품[출고]-제품[손실]</f>
        <v>39</v>
      </c>
      <c r="L35"/>
      <c r="M35"/>
    </row>
    <row r="36" spans="1:13" ht="16.5" customHeight="1">
      <c r="A36" s="6">
        <v>35</v>
      </c>
      <c r="B36" s="7" t="s">
        <v>39</v>
      </c>
      <c r="C36" s="8" t="s">
        <v>100</v>
      </c>
      <c r="D36" s="8" t="s">
        <v>19</v>
      </c>
      <c r="E36" s="9">
        <v>38000</v>
      </c>
      <c r="F36" s="9">
        <f>SUMIFS(입출고[수량], 입출고[제품], B36, 입출고[구분], "이월")</f>
        <v>48</v>
      </c>
      <c r="G36" s="19">
        <f>SUMIFS(입출고[수량], 입출고[제품], B36, 입출고[구분], "입고")</f>
        <v>0</v>
      </c>
      <c r="H36" s="19">
        <f>SUMIFS(입출고[수량], 입출고[제품], B36, 입출고[구분], "출고")</f>
        <v>0</v>
      </c>
      <c r="I36" s="19">
        <f>SUMIFS(입출고[수량], 입출고[제품], B36, 입출고[구분], "손실")</f>
        <v>0</v>
      </c>
      <c r="J36" s="21">
        <f>제품[이월]+제품[입고]-제품[출고]-제품[손실]</f>
        <v>48</v>
      </c>
      <c r="L36"/>
      <c r="M36"/>
    </row>
    <row r="37" spans="1:13" ht="16.5" customHeight="1">
      <c r="A37" s="6">
        <v>36</v>
      </c>
      <c r="B37" s="7" t="s">
        <v>28</v>
      </c>
      <c r="C37" s="8" t="s">
        <v>101</v>
      </c>
      <c r="D37" s="8" t="s">
        <v>8</v>
      </c>
      <c r="E37" s="9">
        <v>19000</v>
      </c>
      <c r="F37" s="9">
        <f>SUMIFS(입출고[수량], 입출고[제품], B37, 입출고[구분], "이월")</f>
        <v>37</v>
      </c>
      <c r="G37" s="19">
        <f>SUMIFS(입출고[수량], 입출고[제품], B37, 입출고[구분], "입고")</f>
        <v>0</v>
      </c>
      <c r="H37" s="19">
        <f>SUMIFS(입출고[수량], 입출고[제품], B37, 입출고[구분], "출고")</f>
        <v>0</v>
      </c>
      <c r="I37" s="19">
        <f>SUMIFS(입출고[수량], 입출고[제품], B37, 입출고[구분], "손실")</f>
        <v>0</v>
      </c>
      <c r="J37" s="21">
        <f>제품[이월]+제품[입고]-제품[출고]-제품[손실]</f>
        <v>37</v>
      </c>
      <c r="L37"/>
      <c r="M37"/>
    </row>
    <row r="38" spans="1:13" ht="16.5" customHeight="1">
      <c r="A38" s="6">
        <v>37</v>
      </c>
      <c r="B38" s="7" t="s">
        <v>36</v>
      </c>
      <c r="C38" s="8" t="s">
        <v>101</v>
      </c>
      <c r="D38" s="8" t="s">
        <v>8</v>
      </c>
      <c r="E38" s="9">
        <v>26000</v>
      </c>
      <c r="F38" s="9">
        <f>SUMIFS(입출고[수량], 입출고[제품], B38, 입출고[구분], "이월")</f>
        <v>46</v>
      </c>
      <c r="G38" s="19">
        <f>SUMIFS(입출고[수량], 입출고[제품], B38, 입출고[구분], "입고")</f>
        <v>0</v>
      </c>
      <c r="H38" s="19">
        <f>SUMIFS(입출고[수량], 입출고[제품], B38, 입출고[구분], "출고")</f>
        <v>0</v>
      </c>
      <c r="I38" s="19">
        <f>SUMIFS(입출고[수량], 입출고[제품], B38, 입출고[구분], "손실")</f>
        <v>0</v>
      </c>
      <c r="J38" s="21">
        <f>제품[이월]+제품[입고]-제품[출고]-제품[손실]</f>
        <v>46</v>
      </c>
      <c r="L38"/>
      <c r="M38"/>
    </row>
    <row r="39" spans="1:13" ht="16.5" customHeight="1">
      <c r="A39" s="6">
        <v>38</v>
      </c>
      <c r="B39" s="7" t="s">
        <v>75</v>
      </c>
      <c r="C39" s="8" t="s">
        <v>102</v>
      </c>
      <c r="D39" s="8" t="s">
        <v>19</v>
      </c>
      <c r="E39" s="9">
        <v>26000</v>
      </c>
      <c r="F39" s="9">
        <f>SUMIFS(입출고[수량], 입출고[제품], B39, 입출고[구분], "이월")</f>
        <v>54</v>
      </c>
      <c r="G39" s="19">
        <f>SUMIFS(입출고[수량], 입출고[제품], B39, 입출고[구분], "입고")</f>
        <v>0</v>
      </c>
      <c r="H39" s="19">
        <f>SUMIFS(입출고[수량], 입출고[제품], B39, 입출고[구분], "출고")</f>
        <v>0</v>
      </c>
      <c r="I39" s="19">
        <f>SUMIFS(입출고[수량], 입출고[제품], B39, 입출고[구분], "손실")</f>
        <v>0</v>
      </c>
      <c r="J39" s="21">
        <f>제품[이월]+제품[입고]-제품[출고]-제품[손실]</f>
        <v>54</v>
      </c>
      <c r="L39"/>
      <c r="M39"/>
    </row>
    <row r="40" spans="1:13" ht="16.5" customHeight="1">
      <c r="A40" s="6">
        <v>39</v>
      </c>
      <c r="B40" s="7" t="s">
        <v>20</v>
      </c>
      <c r="C40" s="8" t="s">
        <v>102</v>
      </c>
      <c r="D40" s="8" t="s">
        <v>19</v>
      </c>
      <c r="E40" s="9">
        <v>28000</v>
      </c>
      <c r="F40" s="9">
        <f>SUMIFS(입출고[수량], 입출고[제품], B40, 입출고[구분], "이월")</f>
        <v>41</v>
      </c>
      <c r="G40" s="19">
        <f>SUMIFS(입출고[수량], 입출고[제품], B40, 입출고[구분], "입고")</f>
        <v>0</v>
      </c>
      <c r="H40" s="19">
        <f>SUMIFS(입출고[수량], 입출고[제품], B40, 입출고[구분], "출고")</f>
        <v>0</v>
      </c>
      <c r="I40" s="19">
        <f>SUMIFS(입출고[수량], 입출고[제품], B40, 입출고[구분], "손실")</f>
        <v>0</v>
      </c>
      <c r="J40" s="21">
        <f>제품[이월]+제품[입고]-제품[출고]-제품[손실]</f>
        <v>41</v>
      </c>
      <c r="L40"/>
      <c r="M40"/>
    </row>
    <row r="41" spans="1:13" ht="16.5" customHeight="1">
      <c r="A41" s="6">
        <v>40</v>
      </c>
      <c r="B41" s="7" t="s">
        <v>45</v>
      </c>
      <c r="C41" s="8" t="s">
        <v>103</v>
      </c>
      <c r="D41" s="8" t="s">
        <v>8</v>
      </c>
      <c r="E41" s="9">
        <v>18000</v>
      </c>
      <c r="F41" s="9">
        <f>SUMIFS(입출고[수량], 입출고[제품], B41, 입출고[구분], "이월")</f>
        <v>41</v>
      </c>
      <c r="G41" s="19">
        <f>SUMIFS(입출고[수량], 입출고[제품], B41, 입출고[구분], "입고")</f>
        <v>0</v>
      </c>
      <c r="H41" s="19">
        <f>SUMIFS(입출고[수량], 입출고[제품], B41, 입출고[구분], "출고")</f>
        <v>0</v>
      </c>
      <c r="I41" s="19">
        <f>SUMIFS(입출고[수량], 입출고[제품], B41, 입출고[구분], "손실")</f>
        <v>0</v>
      </c>
      <c r="J41" s="21">
        <f>제품[이월]+제품[입고]-제품[출고]-제품[손실]</f>
        <v>41</v>
      </c>
      <c r="L41"/>
      <c r="M41"/>
    </row>
    <row r="42" spans="1:13" ht="16.5" customHeight="1">
      <c r="A42" s="6">
        <v>41</v>
      </c>
      <c r="B42" s="7" t="s">
        <v>9</v>
      </c>
      <c r="C42" s="8" t="s">
        <v>103</v>
      </c>
      <c r="D42" s="8" t="s">
        <v>8</v>
      </c>
      <c r="E42" s="9">
        <v>9000</v>
      </c>
      <c r="F42" s="9">
        <f>SUMIFS(입출고[수량], 입출고[제품], B42, 입출고[구분], "이월")</f>
        <v>30</v>
      </c>
      <c r="G42" s="19">
        <f>SUMIFS(입출고[수량], 입출고[제품], B42, 입출고[구분], "입고")</f>
        <v>0</v>
      </c>
      <c r="H42" s="19">
        <f>SUMIFS(입출고[수량], 입출고[제품], B42, 입출고[구분], "출고")</f>
        <v>0</v>
      </c>
      <c r="I42" s="19">
        <f>SUMIFS(입출고[수량], 입출고[제품], B42, 입출고[구분], "손실")</f>
        <v>0</v>
      </c>
      <c r="J42" s="21">
        <f>제품[이월]+제품[입고]-제품[출고]-제품[손실]</f>
        <v>30</v>
      </c>
      <c r="L42"/>
      <c r="M42"/>
    </row>
    <row r="43" spans="1:13" ht="16.5" customHeight="1">
      <c r="A43" s="6">
        <v>42</v>
      </c>
      <c r="B43" s="7" t="s">
        <v>3</v>
      </c>
      <c r="C43" s="8" t="s">
        <v>104</v>
      </c>
      <c r="D43" s="8" t="s">
        <v>2</v>
      </c>
      <c r="E43" s="9">
        <v>14000</v>
      </c>
      <c r="F43" s="9">
        <f>SUMIFS(입출고[수량], 입출고[제품], B43, 입출고[구분], "이월")</f>
        <v>91</v>
      </c>
      <c r="G43" s="19">
        <f>SUMIFS(입출고[수량], 입출고[제품], B43, 입출고[구분], "입고")</f>
        <v>0</v>
      </c>
      <c r="H43" s="19">
        <f>SUMIFS(입출고[수량], 입출고[제품], B43, 입출고[구분], "출고")</f>
        <v>0</v>
      </c>
      <c r="I43" s="19">
        <f>SUMIFS(입출고[수량], 입출고[제품], B43, 입출고[구분], "손실")</f>
        <v>0</v>
      </c>
      <c r="J43" s="21">
        <f>제품[이월]+제품[입고]-제품[출고]-제품[손실]</f>
        <v>91</v>
      </c>
      <c r="L43"/>
      <c r="M43"/>
    </row>
    <row r="44" spans="1:13" ht="16.5" customHeight="1">
      <c r="A44" s="6">
        <v>43</v>
      </c>
      <c r="B44" s="7" t="s">
        <v>48</v>
      </c>
      <c r="C44" s="8" t="s">
        <v>104</v>
      </c>
      <c r="D44" s="8" t="s">
        <v>19</v>
      </c>
      <c r="E44" s="9">
        <v>46000</v>
      </c>
      <c r="F44" s="9">
        <f>SUMIFS(입출고[수량], 입출고[제품], B44, 입출고[구분], "이월")</f>
        <v>59</v>
      </c>
      <c r="G44" s="19">
        <f>SUMIFS(입출고[수량], 입출고[제품], B44, 입출고[구분], "입고")</f>
        <v>0</v>
      </c>
      <c r="H44" s="19">
        <f>SUMIFS(입출고[수량], 입출고[제품], B44, 입출고[구분], "출고")</f>
        <v>0</v>
      </c>
      <c r="I44" s="19">
        <f>SUMIFS(입출고[수량], 입출고[제품], B44, 입출고[구분], "손실")</f>
        <v>0</v>
      </c>
      <c r="J44" s="21">
        <f>제품[이월]+제품[입고]-제품[출고]-제품[손실]</f>
        <v>59</v>
      </c>
      <c r="L44"/>
      <c r="M44"/>
    </row>
    <row r="45" spans="1:13" ht="16.5" customHeight="1">
      <c r="A45" s="6">
        <v>44</v>
      </c>
      <c r="B45" s="7" t="s">
        <v>53</v>
      </c>
      <c r="C45" s="8" t="s">
        <v>104</v>
      </c>
      <c r="D45" s="8" t="s">
        <v>10</v>
      </c>
      <c r="E45" s="9">
        <v>19000</v>
      </c>
      <c r="F45" s="9">
        <f>SUMIFS(입출고[수량], 입출고[제품], B45, 입출고[구분], "이월")</f>
        <v>55</v>
      </c>
      <c r="G45" s="19">
        <f>SUMIFS(입출고[수량], 입출고[제품], B45, 입출고[구분], "입고")</f>
        <v>0</v>
      </c>
      <c r="H45" s="19">
        <f>SUMIFS(입출고[수량], 입출고[제품], B45, 입출고[구분], "출고")</f>
        <v>0</v>
      </c>
      <c r="I45" s="19">
        <f>SUMIFS(입출고[수량], 입출고[제품], B45, 입출고[구분], "손실")</f>
        <v>0</v>
      </c>
      <c r="J45" s="21">
        <f>제품[이월]+제품[입고]-제품[출고]-제품[손실]</f>
        <v>55</v>
      </c>
      <c r="L45"/>
      <c r="M45"/>
    </row>
    <row r="46" spans="1:13" ht="16.5" customHeight="1">
      <c r="A46" s="6">
        <v>45</v>
      </c>
      <c r="B46" s="7" t="s">
        <v>81</v>
      </c>
      <c r="C46" s="8" t="s">
        <v>105</v>
      </c>
      <c r="D46" s="8" t="s">
        <v>8</v>
      </c>
      <c r="E46" s="9">
        <v>9000</v>
      </c>
      <c r="F46" s="9">
        <f>SUMIFS(입출고[수량], 입출고[제품], B46, 입출고[구분], "이월")</f>
        <v>96</v>
      </c>
      <c r="G46" s="19">
        <f>SUMIFS(입출고[수량], 입출고[제품], B46, 입출고[구분], "입고")</f>
        <v>0</v>
      </c>
      <c r="H46" s="19">
        <f>SUMIFS(입출고[수량], 입출고[제품], B46, 입출고[구분], "출고")</f>
        <v>0</v>
      </c>
      <c r="I46" s="19">
        <f>SUMIFS(입출고[수량], 입출고[제품], B46, 입출고[구분], "손실")</f>
        <v>0</v>
      </c>
      <c r="J46" s="21">
        <f>제품[이월]+제품[입고]-제품[출고]-제품[손실]</f>
        <v>96</v>
      </c>
      <c r="L46"/>
      <c r="M46"/>
    </row>
    <row r="47" spans="1:13" ht="16.5" customHeight="1">
      <c r="A47" s="6">
        <v>46</v>
      </c>
      <c r="B47" s="7" t="s">
        <v>62</v>
      </c>
      <c r="C47" s="8" t="s">
        <v>105</v>
      </c>
      <c r="D47" s="8" t="s">
        <v>8</v>
      </c>
      <c r="E47" s="9">
        <v>12000</v>
      </c>
      <c r="F47" s="9">
        <f>SUMIFS(입출고[수량], 입출고[제품], B47, 입출고[구분], "이월")</f>
        <v>11</v>
      </c>
      <c r="G47" s="19">
        <f>SUMIFS(입출고[수량], 입출고[제품], B47, 입출고[구분], "입고")</f>
        <v>0</v>
      </c>
      <c r="H47" s="19">
        <f>SUMIFS(입출고[수량], 입출고[제품], B47, 입출고[구분], "출고")</f>
        <v>0</v>
      </c>
      <c r="I47" s="19">
        <f>SUMIFS(입출고[수량], 입출고[제품], B47, 입출고[구분], "손실")</f>
        <v>0</v>
      </c>
      <c r="J47" s="21">
        <f>제품[이월]+제품[입고]-제품[출고]-제품[손실]</f>
        <v>11</v>
      </c>
      <c r="L47"/>
      <c r="M47"/>
    </row>
    <row r="48" spans="1:13" ht="16.5" customHeight="1">
      <c r="A48" s="6">
        <v>47</v>
      </c>
      <c r="B48" s="7" t="s">
        <v>77</v>
      </c>
      <c r="C48" s="8" t="s">
        <v>106</v>
      </c>
      <c r="D48" s="8" t="s">
        <v>14</v>
      </c>
      <c r="E48" s="9">
        <v>9000</v>
      </c>
      <c r="F48" s="9">
        <f>SUMIFS(입출고[수량], 입출고[제품], B48, 입출고[구분], "이월")</f>
        <v>70</v>
      </c>
      <c r="G48" s="19">
        <f>SUMIFS(입출고[수량], 입출고[제품], B48, 입출고[구분], "입고")</f>
        <v>0</v>
      </c>
      <c r="H48" s="19">
        <f>SUMIFS(입출고[수량], 입출고[제품], B48, 입출고[구분], "출고")</f>
        <v>0</v>
      </c>
      <c r="I48" s="19">
        <f>SUMIFS(입출고[수량], 입출고[제품], B48, 입출고[구분], "손실")</f>
        <v>0</v>
      </c>
      <c r="J48" s="21">
        <f>제품[이월]+제품[입고]-제품[출고]-제품[손실]</f>
        <v>70</v>
      </c>
      <c r="L48"/>
      <c r="M48"/>
    </row>
    <row r="49" spans="1:13" ht="16.5" customHeight="1">
      <c r="A49" s="6">
        <v>48</v>
      </c>
      <c r="B49" s="7" t="s">
        <v>82</v>
      </c>
      <c r="C49" s="8" t="s">
        <v>106</v>
      </c>
      <c r="D49" s="8" t="s">
        <v>14</v>
      </c>
      <c r="E49" s="9">
        <v>12000</v>
      </c>
      <c r="F49" s="9">
        <f>SUMIFS(입출고[수량], 입출고[제품], B49, 입출고[구분], "이월")</f>
        <v>76</v>
      </c>
      <c r="G49" s="19">
        <f>SUMIFS(입출고[수량], 입출고[제품], B49, 입출고[구분], "입고")</f>
        <v>0</v>
      </c>
      <c r="H49" s="19">
        <f>SUMIFS(입출고[수량], 입출고[제품], B49, 입출고[구분], "출고")</f>
        <v>0</v>
      </c>
      <c r="I49" s="19">
        <f>SUMIFS(입출고[수량], 입출고[제품], B49, 입출고[구분], "손실")</f>
        <v>0</v>
      </c>
      <c r="J49" s="21">
        <f>제품[이월]+제품[입고]-제품[출고]-제품[손실]</f>
        <v>76</v>
      </c>
      <c r="L49"/>
      <c r="M49"/>
    </row>
    <row r="50" spans="1:13" ht="16.5" customHeight="1">
      <c r="A50" s="6">
        <v>49</v>
      </c>
      <c r="B50" s="7" t="s">
        <v>21</v>
      </c>
      <c r="C50" s="8" t="s">
        <v>107</v>
      </c>
      <c r="D50" s="8" t="s">
        <v>14</v>
      </c>
      <c r="E50" s="9">
        <v>20000</v>
      </c>
      <c r="F50" s="9">
        <f>SUMIFS(입출고[수량], 입출고[제품], B50, 입출고[구분], "이월")</f>
        <v>96</v>
      </c>
      <c r="G50" s="19">
        <f>SUMIFS(입출고[수량], 입출고[제품], B50, 입출고[구분], "입고")</f>
        <v>0</v>
      </c>
      <c r="H50" s="19">
        <f>SUMIFS(입출고[수량], 입출고[제품], B50, 입출고[구분], "출고")</f>
        <v>0</v>
      </c>
      <c r="I50" s="19">
        <f>SUMIFS(입출고[수량], 입출고[제품], B50, 입출고[구분], "손실")</f>
        <v>0</v>
      </c>
      <c r="J50" s="21">
        <f>제품[이월]+제품[입고]-제품[출고]-제품[손실]</f>
        <v>96</v>
      </c>
      <c r="L50"/>
      <c r="M50"/>
    </row>
    <row r="51" spans="1:13" ht="16.5" customHeight="1">
      <c r="A51" s="6">
        <v>50</v>
      </c>
      <c r="B51" s="7" t="s">
        <v>80</v>
      </c>
      <c r="C51" s="8" t="s">
        <v>107</v>
      </c>
      <c r="D51" s="8" t="s">
        <v>14</v>
      </c>
      <c r="E51" s="9">
        <v>16000</v>
      </c>
      <c r="F51" s="9">
        <f>SUMIFS(입출고[수량], 입출고[제품], B51, 입출고[구분], "이월")</f>
        <v>31</v>
      </c>
      <c r="G51" s="19">
        <f>SUMIFS(입출고[수량], 입출고[제품], B51, 입출고[구분], "입고")</f>
        <v>0</v>
      </c>
      <c r="H51" s="19">
        <f>SUMIFS(입출고[수량], 입출고[제품], B51, 입출고[구분], "출고")</f>
        <v>0</v>
      </c>
      <c r="I51" s="19">
        <f>SUMIFS(입출고[수량], 입출고[제품], B51, 입출고[구분], "손실")</f>
        <v>0</v>
      </c>
      <c r="J51" s="21">
        <f>제품[이월]+제품[입고]-제품[출고]-제품[손실]</f>
        <v>31</v>
      </c>
      <c r="L51"/>
      <c r="M51"/>
    </row>
    <row r="52" spans="1:13" ht="16.5" customHeight="1">
      <c r="A52" s="6">
        <v>51</v>
      </c>
      <c r="B52" s="7" t="s">
        <v>7</v>
      </c>
      <c r="C52" s="8" t="s">
        <v>108</v>
      </c>
      <c r="D52" s="8" t="s">
        <v>5</v>
      </c>
      <c r="E52" s="9">
        <v>53000</v>
      </c>
      <c r="F52" s="9">
        <f>SUMIFS(입출고[수량], 입출고[제품], B52, 입출고[구분], "이월")</f>
        <v>16</v>
      </c>
      <c r="G52" s="19">
        <f>SUMIFS(입출고[수량], 입출고[제품], B52, 입출고[구분], "입고")</f>
        <v>0</v>
      </c>
      <c r="H52" s="19">
        <f>SUMIFS(입출고[수량], 입출고[제품], B52, 입출고[구분], "출고")</f>
        <v>0</v>
      </c>
      <c r="I52" s="19">
        <f>SUMIFS(입출고[수량], 입출고[제품], B52, 입출고[구분], "손실")</f>
        <v>0</v>
      </c>
      <c r="J52" s="21">
        <f>제품[이월]+제품[입고]-제품[출고]-제품[손실]</f>
        <v>16</v>
      </c>
      <c r="L52"/>
      <c r="M52"/>
    </row>
    <row r="53" spans="1:13" ht="16.5" customHeight="1">
      <c r="A53" s="6">
        <v>52</v>
      </c>
      <c r="B53" s="7" t="s">
        <v>73</v>
      </c>
      <c r="C53" s="8" t="s">
        <v>108</v>
      </c>
      <c r="D53" s="8" t="s">
        <v>2</v>
      </c>
      <c r="E53" s="9">
        <v>7000</v>
      </c>
      <c r="F53" s="9">
        <f>SUMIFS(입출고[수량], 입출고[제품], B53, 입출고[구분], "이월")</f>
        <v>21</v>
      </c>
      <c r="G53" s="19">
        <f>SUMIFS(입출고[수량], 입출고[제품], B53, 입출고[구분], "입고")</f>
        <v>0</v>
      </c>
      <c r="H53" s="19">
        <f>SUMIFS(입출고[수량], 입출고[제품], B53, 입출고[구분], "출고")</f>
        <v>0</v>
      </c>
      <c r="I53" s="19">
        <f>SUMIFS(입출고[수량], 입출고[제품], B53, 입출고[구분], "손실")</f>
        <v>0</v>
      </c>
      <c r="J53" s="21">
        <f>제품[이월]+제품[입고]-제품[출고]-제품[손실]</f>
        <v>21</v>
      </c>
      <c r="L53"/>
      <c r="M53"/>
    </row>
    <row r="54" spans="1:13" ht="16.5" customHeight="1">
      <c r="A54" s="6">
        <v>53</v>
      </c>
      <c r="B54" s="7" t="s">
        <v>30</v>
      </c>
      <c r="C54" s="8" t="s">
        <v>108</v>
      </c>
      <c r="D54" s="8" t="s">
        <v>23</v>
      </c>
      <c r="E54" s="9">
        <v>32000</v>
      </c>
      <c r="F54" s="9">
        <f>SUMIFS(입출고[수량], 입출고[제품], B54, 입출고[구분], "이월")</f>
        <v>91</v>
      </c>
      <c r="G54" s="19">
        <f>SUMIFS(입출고[수량], 입출고[제품], B54, 입출고[구분], "입고")</f>
        <v>0</v>
      </c>
      <c r="H54" s="19">
        <f>SUMIFS(입출고[수량], 입출고[제품], B54, 입출고[구분], "출고")</f>
        <v>0</v>
      </c>
      <c r="I54" s="19">
        <f>SUMIFS(입출고[수량], 입출고[제품], B54, 입출고[구분], "손실")</f>
        <v>0</v>
      </c>
      <c r="J54" s="21">
        <f>제품[이월]+제품[입고]-제품[출고]-제품[손실]</f>
        <v>91</v>
      </c>
      <c r="L54"/>
      <c r="M54"/>
    </row>
    <row r="55" spans="1:13" ht="16.5" customHeight="1">
      <c r="A55" s="6">
        <v>54</v>
      </c>
      <c r="B55" s="7" t="s">
        <v>63</v>
      </c>
      <c r="C55" s="8" t="s">
        <v>109</v>
      </c>
      <c r="D55" s="8" t="s">
        <v>23</v>
      </c>
      <c r="E55" s="9">
        <v>17000</v>
      </c>
      <c r="F55" s="9">
        <f>SUMIFS(입출고[수량], 입출고[제품], B55, 입출고[구분], "이월")</f>
        <v>89</v>
      </c>
      <c r="G55" s="19">
        <f>SUMIFS(입출고[수량], 입출고[제품], B55, 입출고[구분], "입고")</f>
        <v>0</v>
      </c>
      <c r="H55" s="19">
        <f>SUMIFS(입출고[수량], 입출고[제품], B55, 입출고[구분], "출고")</f>
        <v>0</v>
      </c>
      <c r="I55" s="19">
        <f>SUMIFS(입출고[수량], 입출고[제품], B55, 입출고[구분], "손실")</f>
        <v>0</v>
      </c>
      <c r="J55" s="21">
        <f>제품[이월]+제품[입고]-제품[출고]-제품[손실]</f>
        <v>89</v>
      </c>
      <c r="L55"/>
      <c r="M55"/>
    </row>
    <row r="56" spans="1:13" ht="16.5" customHeight="1">
      <c r="A56" s="6">
        <v>55</v>
      </c>
      <c r="B56" s="7" t="s">
        <v>24</v>
      </c>
      <c r="C56" s="8" t="s">
        <v>109</v>
      </c>
      <c r="D56" s="8" t="s">
        <v>23</v>
      </c>
      <c r="E56" s="9">
        <v>24000</v>
      </c>
      <c r="F56" s="9">
        <f>SUMIFS(입출고[수량], 입출고[제품], B56, 입출고[구분], "이월")</f>
        <v>86</v>
      </c>
      <c r="G56" s="19">
        <f>SUMIFS(입출고[수량], 입출고[제품], B56, 입출고[구분], "입고")</f>
        <v>0</v>
      </c>
      <c r="H56" s="19">
        <f>SUMIFS(입출고[수량], 입출고[제품], B56, 입출고[구분], "출고")</f>
        <v>0</v>
      </c>
      <c r="I56" s="19">
        <f>SUMIFS(입출고[수량], 입출고[제품], B56, 입출고[구분], "손실")</f>
        <v>0</v>
      </c>
      <c r="J56" s="21">
        <f>제품[이월]+제품[입고]-제품[출고]-제품[손실]</f>
        <v>86</v>
      </c>
      <c r="L56"/>
      <c r="M56"/>
    </row>
    <row r="57" spans="1:13" ht="16.5" customHeight="1">
      <c r="A57" s="6">
        <v>56</v>
      </c>
      <c r="B57" s="7" t="s">
        <v>41</v>
      </c>
      <c r="C57" s="8" t="s">
        <v>110</v>
      </c>
      <c r="D57" s="8" t="s">
        <v>2</v>
      </c>
      <c r="E57" s="9">
        <v>38000</v>
      </c>
      <c r="F57" s="9">
        <f>SUMIFS(입출고[수량], 입출고[제품], B57, 입출고[구분], "이월")</f>
        <v>41</v>
      </c>
      <c r="G57" s="19">
        <f>SUMIFS(입출고[수량], 입출고[제품], B57, 입출고[구분], "입고")</f>
        <v>0</v>
      </c>
      <c r="H57" s="19">
        <f>SUMIFS(입출고[수량], 입출고[제품], B57, 입출고[구분], "출고")</f>
        <v>0</v>
      </c>
      <c r="I57" s="19">
        <f>SUMIFS(입출고[수량], 입출고[제품], B57, 입출고[구분], "손실")</f>
        <v>0</v>
      </c>
      <c r="J57" s="21">
        <f>제품[이월]+제품[입고]-제품[출고]-제품[손실]</f>
        <v>41</v>
      </c>
      <c r="L57"/>
      <c r="M57"/>
    </row>
    <row r="58" spans="1:13" ht="16.5" customHeight="1">
      <c r="A58" s="6">
        <v>57</v>
      </c>
      <c r="B58" s="7" t="s">
        <v>13</v>
      </c>
      <c r="C58" s="8" t="s">
        <v>110</v>
      </c>
      <c r="D58" s="8" t="s">
        <v>2</v>
      </c>
      <c r="E58" s="9">
        <v>19000</v>
      </c>
      <c r="F58" s="9">
        <f>SUMIFS(입출고[수량], 입출고[제품], B58, 입출고[구분], "이월")</f>
        <v>62</v>
      </c>
      <c r="G58" s="19">
        <f>SUMIFS(입출고[수량], 입출고[제품], B58, 입출고[구분], "입고")</f>
        <v>0</v>
      </c>
      <c r="H58" s="19">
        <f>SUMIFS(입출고[수량], 입출고[제품], B58, 입출고[구분], "출고")</f>
        <v>0</v>
      </c>
      <c r="I58" s="19">
        <f>SUMIFS(입출고[수량], 입출고[제품], B58, 입출고[구분], "손실")</f>
        <v>0</v>
      </c>
      <c r="J58" s="21">
        <f>제품[이월]+제품[입고]-제품[출고]-제품[손실]</f>
        <v>62</v>
      </c>
      <c r="L58"/>
      <c r="M58"/>
    </row>
    <row r="59" spans="1:13" ht="16.5" customHeight="1">
      <c r="A59" s="6">
        <v>58</v>
      </c>
      <c r="B59" s="7" t="s">
        <v>72</v>
      </c>
      <c r="C59" s="8" t="s">
        <v>111</v>
      </c>
      <c r="D59" s="8" t="s">
        <v>8</v>
      </c>
      <c r="E59" s="9">
        <v>13000</v>
      </c>
      <c r="F59" s="9">
        <f>SUMIFS(입출고[수량], 입출고[제품], B59, 입출고[구분], "이월")</f>
        <v>59</v>
      </c>
      <c r="G59" s="19">
        <f>SUMIFS(입출고[수량], 입출고[제품], B59, 입출고[구분], "입고")</f>
        <v>0</v>
      </c>
      <c r="H59" s="19">
        <f>SUMIFS(입출고[수량], 입출고[제품], B59, 입출고[구분], "출고")</f>
        <v>0</v>
      </c>
      <c r="I59" s="19">
        <f>SUMIFS(입출고[수량], 입출고[제품], B59, 입출고[구분], "손실")</f>
        <v>0</v>
      </c>
      <c r="J59" s="21">
        <f>제품[이월]+제품[입고]-제품[출고]-제품[손실]</f>
        <v>59</v>
      </c>
      <c r="L59"/>
      <c r="M59"/>
    </row>
    <row r="60" spans="1:13" ht="16.5" customHeight="1">
      <c r="A60" s="6">
        <v>59</v>
      </c>
      <c r="B60" s="7" t="s">
        <v>29</v>
      </c>
      <c r="C60" s="8" t="s">
        <v>112</v>
      </c>
      <c r="D60" s="8" t="s">
        <v>0</v>
      </c>
      <c r="E60" s="9">
        <v>55000</v>
      </c>
      <c r="F60" s="9">
        <f>SUMIFS(입출고[수량], 입출고[제품], B60, 입출고[구분], "이월")</f>
        <v>15</v>
      </c>
      <c r="G60" s="19">
        <f>SUMIFS(입출고[수량], 입출고[제품], B60, 입출고[구분], "입고")</f>
        <v>0</v>
      </c>
      <c r="H60" s="19">
        <f>SUMIFS(입출고[수량], 입출고[제품], B60, 입출고[구분], "출고")</f>
        <v>0</v>
      </c>
      <c r="I60" s="19">
        <f>SUMIFS(입출고[수량], 입출고[제품], B60, 입출고[구분], "손실")</f>
        <v>0</v>
      </c>
      <c r="J60" s="21">
        <f>제품[이월]+제품[입고]-제품[출고]-제품[손실]</f>
        <v>15</v>
      </c>
      <c r="L60"/>
      <c r="M60"/>
    </row>
    <row r="61" spans="1:13" ht="16.5" customHeight="1">
      <c r="A61" s="6">
        <v>60</v>
      </c>
      <c r="B61" s="7" t="s">
        <v>17</v>
      </c>
      <c r="C61" s="8" t="s">
        <v>112</v>
      </c>
      <c r="D61" s="8" t="s">
        <v>0</v>
      </c>
      <c r="E61" s="9">
        <v>34000</v>
      </c>
      <c r="F61" s="9">
        <f>SUMIFS(입출고[수량], 입출고[제품], B61, 입출고[구분], "이월")</f>
        <v>86</v>
      </c>
      <c r="G61" s="19">
        <f>SUMIFS(입출고[수량], 입출고[제품], B61, 입출고[구분], "입고")</f>
        <v>0</v>
      </c>
      <c r="H61" s="19">
        <f>SUMIFS(입출고[수량], 입출고[제품], B61, 입출고[구분], "출고")</f>
        <v>0</v>
      </c>
      <c r="I61" s="19">
        <f>SUMIFS(입출고[수량], 입출고[제품], B61, 입출고[구분], "손실")</f>
        <v>0</v>
      </c>
      <c r="J61" s="21">
        <f>제품[이월]+제품[입고]-제품[출고]-제품[손실]</f>
        <v>86</v>
      </c>
      <c r="L61"/>
      <c r="M61"/>
    </row>
    <row r="62" spans="1:13" ht="16.5" customHeight="1">
      <c r="A62" s="6">
        <v>61</v>
      </c>
      <c r="B62" s="7" t="s">
        <v>83</v>
      </c>
      <c r="C62" s="8" t="s">
        <v>113</v>
      </c>
      <c r="D62" s="8" t="s">
        <v>10</v>
      </c>
      <c r="E62" s="9">
        <v>28000</v>
      </c>
      <c r="F62" s="9">
        <f>SUMIFS(입출고[수량], 입출고[제품], B62, 입출고[구분], "이월")</f>
        <v>61</v>
      </c>
      <c r="G62" s="19">
        <f>SUMIFS(입출고[수량], 입출고[제품], B62, 입출고[구분], "입고")</f>
        <v>0</v>
      </c>
      <c r="H62" s="19">
        <f>SUMIFS(입출고[수량], 입출고[제품], B62, 입출고[구분], "출고")</f>
        <v>0</v>
      </c>
      <c r="I62" s="19">
        <f>SUMIFS(입출고[수량], 입출고[제품], B62, 입출고[구분], "손실")</f>
        <v>0</v>
      </c>
      <c r="J62" s="21">
        <f>제품[이월]+제품[입고]-제품[출고]-제품[손실]</f>
        <v>61</v>
      </c>
      <c r="L62"/>
      <c r="M62"/>
    </row>
    <row r="63" spans="1:13" ht="16.5" customHeight="1">
      <c r="A63" s="6">
        <v>62</v>
      </c>
      <c r="B63" s="7" t="s">
        <v>37</v>
      </c>
      <c r="C63" s="8" t="s">
        <v>113</v>
      </c>
      <c r="D63" s="8" t="s">
        <v>14</v>
      </c>
      <c r="E63" s="9">
        <v>49000</v>
      </c>
      <c r="F63" s="9">
        <f>SUMIFS(입출고[수량], 입출고[제품], B63, 입출고[구분], "이월")</f>
        <v>40</v>
      </c>
      <c r="G63" s="19">
        <f>SUMIFS(입출고[수량], 입출고[제품], B63, 입출고[구분], "입고")</f>
        <v>0</v>
      </c>
      <c r="H63" s="19">
        <f>SUMIFS(입출고[수량], 입출고[제품], B63, 입출고[구분], "출고")</f>
        <v>0</v>
      </c>
      <c r="I63" s="19">
        <f>SUMIFS(입출고[수량], 입출고[제품], B63, 입출고[구분], "손실")</f>
        <v>0</v>
      </c>
      <c r="J63" s="21">
        <f>제품[이월]+제품[입고]-제품[출고]-제품[손실]</f>
        <v>40</v>
      </c>
      <c r="L63"/>
      <c r="M63"/>
    </row>
    <row r="64" spans="1:13" ht="16.5" customHeight="1">
      <c r="A64" s="6">
        <v>63</v>
      </c>
      <c r="B64" s="7" t="s">
        <v>54</v>
      </c>
      <c r="C64" s="8" t="s">
        <v>91</v>
      </c>
      <c r="D64" s="8" t="s">
        <v>10</v>
      </c>
      <c r="E64" s="9">
        <v>43000</v>
      </c>
      <c r="F64" s="9">
        <f>SUMIFS(입출고[수량], 입출고[제품], B64, 입출고[구분], "이월")</f>
        <v>25</v>
      </c>
      <c r="G64" s="19">
        <f>SUMIFS(입출고[수량], 입출고[제품], B64, 입출고[구분], "입고")</f>
        <v>0</v>
      </c>
      <c r="H64" s="19">
        <f>SUMIFS(입출고[수량], 입출고[제품], B64, 입출고[구분], "출고")</f>
        <v>0</v>
      </c>
      <c r="I64" s="19">
        <f>SUMIFS(입출고[수량], 입출고[제품], B64, 입출고[구분], "손실")</f>
        <v>0</v>
      </c>
      <c r="J64" s="21">
        <f>제품[이월]+제품[입고]-제품[출고]-제품[손실]</f>
        <v>25</v>
      </c>
      <c r="L64"/>
      <c r="M64"/>
    </row>
    <row r="65" spans="1:13" ht="16.5" customHeight="1">
      <c r="A65" s="6">
        <v>64</v>
      </c>
      <c r="B65" s="7" t="s">
        <v>66</v>
      </c>
      <c r="C65" s="8" t="s">
        <v>96</v>
      </c>
      <c r="D65" s="8" t="s">
        <v>2</v>
      </c>
      <c r="E65" s="9">
        <v>33000</v>
      </c>
      <c r="F65" s="9">
        <f>SUMIFS(입출고[수량], 입출고[제품], B65, 입출고[구분], "이월")</f>
        <v>99</v>
      </c>
      <c r="G65" s="19">
        <f>SUMIFS(입출고[수량], 입출고[제품], B65, 입출고[구분], "입고")</f>
        <v>0</v>
      </c>
      <c r="H65" s="19">
        <f>SUMIFS(입출고[수량], 입출고[제품], B65, 입출고[구분], "출고")</f>
        <v>0</v>
      </c>
      <c r="I65" s="19">
        <f>SUMIFS(입출고[수량], 입출고[제품], B65, 입출고[구분], "손실")</f>
        <v>0</v>
      </c>
      <c r="J65" s="21">
        <f>제품[이월]+제품[입고]-제품[출고]-제품[손실]</f>
        <v>99</v>
      </c>
      <c r="L65"/>
      <c r="M65"/>
    </row>
    <row r="66" spans="1:13" ht="16.5" customHeight="1">
      <c r="A66" s="6">
        <v>65</v>
      </c>
      <c r="B66" s="7" t="s">
        <v>11</v>
      </c>
      <c r="C66" s="8" t="s">
        <v>86</v>
      </c>
      <c r="D66" s="8" t="s">
        <v>10</v>
      </c>
      <c r="E66" s="9">
        <v>21000</v>
      </c>
      <c r="F66" s="9">
        <f>SUMIFS(입출고[수량], 입출고[제품], B66, 입출고[구분], "이월")</f>
        <v>12</v>
      </c>
      <c r="G66" s="19">
        <f>SUMIFS(입출고[수량], 입출고[제품], B66, 입출고[구분], "입고")</f>
        <v>0</v>
      </c>
      <c r="H66" s="19">
        <f>SUMIFS(입출고[수량], 입출고[제품], B66, 입출고[구분], "출고")</f>
        <v>0</v>
      </c>
      <c r="I66" s="19">
        <f>SUMIFS(입출고[수량], 입출고[제품], B66, 입출고[구분], "손실")</f>
        <v>0</v>
      </c>
      <c r="J66" s="21">
        <f>제품[이월]+제품[입고]-제품[출고]-제품[손실]</f>
        <v>12</v>
      </c>
      <c r="L66"/>
      <c r="M66"/>
    </row>
    <row r="67" spans="1:13" ht="16.5" customHeight="1">
      <c r="A67" s="6">
        <v>66</v>
      </c>
      <c r="B67" s="7" t="s">
        <v>69</v>
      </c>
      <c r="C67" s="8" t="s">
        <v>86</v>
      </c>
      <c r="D67" s="8" t="s">
        <v>10</v>
      </c>
      <c r="E67" s="9">
        <v>17000</v>
      </c>
      <c r="F67" s="9">
        <f>SUMIFS(입출고[수량], 입출고[제품], B67, 입출고[구분], "이월")</f>
        <v>75</v>
      </c>
      <c r="G67" s="19">
        <f>SUMIFS(입출고[수량], 입출고[제품], B67, 입출고[구분], "입고")</f>
        <v>0</v>
      </c>
      <c r="H67" s="19">
        <f>SUMIFS(입출고[수량], 입출고[제품], B67, 입출고[구분], "출고")</f>
        <v>0</v>
      </c>
      <c r="I67" s="19">
        <f>SUMIFS(입출고[수량], 입출고[제품], B67, 입출고[구분], "손실")</f>
        <v>0</v>
      </c>
      <c r="J67" s="21">
        <f>제품[이월]+제품[입고]-제품[출고]-제품[손실]</f>
        <v>75</v>
      </c>
      <c r="L67"/>
      <c r="M67"/>
    </row>
    <row r="68" spans="1:13" ht="16.5" customHeight="1">
      <c r="A68" s="6">
        <v>67</v>
      </c>
      <c r="B68" s="7" t="s">
        <v>59</v>
      </c>
      <c r="C68" s="8" t="s">
        <v>100</v>
      </c>
      <c r="D68" s="8" t="s">
        <v>19</v>
      </c>
      <c r="E68" s="9">
        <v>45000</v>
      </c>
      <c r="F68" s="9">
        <f>SUMIFS(입출고[수량], 입출고[제품], B68, 입출고[구분], "이월")</f>
        <v>51</v>
      </c>
      <c r="G68" s="19">
        <f>SUMIFS(입출고[수량], 입출고[제품], B68, 입출고[구분], "입고")</f>
        <v>0</v>
      </c>
      <c r="H68" s="19">
        <f>SUMIFS(입출고[수량], 입출고[제품], B68, 입출고[구분], "출고")</f>
        <v>0</v>
      </c>
      <c r="I68" s="19">
        <f>SUMIFS(입출고[수량], 입출고[제품], B68, 입출고[구분], "손실")</f>
        <v>0</v>
      </c>
      <c r="J68" s="21">
        <f>제품[이월]+제품[입고]-제품[출고]-제품[손실]</f>
        <v>51</v>
      </c>
      <c r="L68"/>
      <c r="M68"/>
    </row>
    <row r="69" spans="1:13" ht="16.5" customHeight="1">
      <c r="A69" s="6">
        <v>68</v>
      </c>
      <c r="B69" s="7" t="s">
        <v>64</v>
      </c>
      <c r="C69" s="8" t="s">
        <v>92</v>
      </c>
      <c r="D69" s="8" t="s">
        <v>14</v>
      </c>
      <c r="E69" s="9">
        <v>12000</v>
      </c>
      <c r="F69" s="9">
        <f>SUMIFS(입출고[수량], 입출고[제품], B69, 입출고[구분], "이월")</f>
        <v>47</v>
      </c>
      <c r="G69" s="19">
        <f>SUMIFS(입출고[수량], 입출고[제품], B69, 입출고[구분], "입고")</f>
        <v>0</v>
      </c>
      <c r="H69" s="19">
        <f>SUMIFS(입출고[수량], 입출고[제품], B69, 입출고[구분], "출고")</f>
        <v>0</v>
      </c>
      <c r="I69" s="19">
        <f>SUMIFS(입출고[수량], 입출고[제품], B69, 입출고[구분], "손실")</f>
        <v>0</v>
      </c>
      <c r="J69" s="21">
        <f>제품[이월]+제품[입고]-제품[출고]-제품[손실]</f>
        <v>47</v>
      </c>
      <c r="L69"/>
      <c r="M69"/>
    </row>
    <row r="70" spans="1:13" ht="16.5" customHeight="1">
      <c r="A70" s="6">
        <v>69</v>
      </c>
      <c r="B70" s="7" t="s">
        <v>68</v>
      </c>
      <c r="C70" s="8" t="s">
        <v>99</v>
      </c>
      <c r="D70" s="8" t="s">
        <v>0</v>
      </c>
      <c r="E70" s="9">
        <v>36000</v>
      </c>
      <c r="F70" s="9">
        <f>SUMIFS(입출고[수량], 입출고[제품], B70, 입출고[구분], "이월")</f>
        <v>92</v>
      </c>
      <c r="G70" s="19">
        <f>SUMIFS(입출고[수량], 입출고[제품], B70, 입출고[구분], "입고")</f>
        <v>0</v>
      </c>
      <c r="H70" s="19">
        <f>SUMIFS(입출고[수량], 입출고[제품], B70, 입출고[구분], "출고")</f>
        <v>0</v>
      </c>
      <c r="I70" s="19">
        <f>SUMIFS(입출고[수량], 입출고[제품], B70, 입출고[구분], "손실")</f>
        <v>0</v>
      </c>
      <c r="J70" s="21">
        <f>제품[이월]+제품[입고]-제품[출고]-제품[손실]</f>
        <v>92</v>
      </c>
    </row>
    <row r="71" spans="1:13" ht="16.5" customHeight="1">
      <c r="A71" s="6">
        <v>70</v>
      </c>
      <c r="B71" s="7" t="s">
        <v>38</v>
      </c>
      <c r="C71" s="8" t="s">
        <v>91</v>
      </c>
      <c r="D71" s="8" t="s">
        <v>19</v>
      </c>
      <c r="E71" s="9">
        <v>45000</v>
      </c>
      <c r="F71" s="9">
        <f>SUMIFS(입출고[수량], 입출고[제품], B71, 입출고[구분], "이월")</f>
        <v>84</v>
      </c>
      <c r="G71" s="19">
        <f>SUMIFS(입출고[수량], 입출고[제품], B71, 입출고[구분], "입고")</f>
        <v>0</v>
      </c>
      <c r="H71" s="19">
        <f>SUMIFS(입출고[수량], 입출고[제품], B71, 입출고[구분], "출고")</f>
        <v>0</v>
      </c>
      <c r="I71" s="19">
        <f>SUMIFS(입출고[수량], 입출고[제품], B71, 입출고[구분], "손실")</f>
        <v>0</v>
      </c>
      <c r="J71" s="21">
        <f>제품[이월]+제품[입고]-제품[출고]-제품[손실]</f>
        <v>84</v>
      </c>
    </row>
    <row r="72" spans="1:13" ht="16.5" customHeight="1">
      <c r="A72" s="6">
        <v>71</v>
      </c>
      <c r="B72" s="7" t="s">
        <v>50</v>
      </c>
      <c r="C72" s="8" t="s">
        <v>99</v>
      </c>
      <c r="D72" s="8" t="s">
        <v>0</v>
      </c>
      <c r="E72" s="9">
        <v>21000</v>
      </c>
      <c r="F72" s="9">
        <f>SUMIFS(입출고[수량], 입출고[제품], B72, 입출고[구분], "이월")</f>
        <v>56</v>
      </c>
      <c r="G72" s="19">
        <f>SUMIFS(입출고[수량], 입출고[제품], B72, 입출고[구분], "입고")</f>
        <v>0</v>
      </c>
      <c r="H72" s="19">
        <f>SUMIFS(입출고[수량], 입출고[제품], B72, 입출고[구분], "출고")</f>
        <v>0</v>
      </c>
      <c r="I72" s="19">
        <f>SUMIFS(입출고[수량], 입출고[제품], B72, 입출고[구분], "손실")</f>
        <v>0</v>
      </c>
      <c r="J72" s="21">
        <f>제품[이월]+제품[입고]-제품[출고]-제품[손실]</f>
        <v>56</v>
      </c>
    </row>
    <row r="73" spans="1:13" ht="16.5" customHeight="1">
      <c r="A73" s="6">
        <v>72</v>
      </c>
      <c r="B73" s="7" t="s">
        <v>4</v>
      </c>
      <c r="C73" s="8" t="s">
        <v>98</v>
      </c>
      <c r="D73" s="8" t="s">
        <v>0</v>
      </c>
      <c r="E73" s="9">
        <v>34000</v>
      </c>
      <c r="F73" s="9">
        <f>SUMIFS(입출고[수량], 입출고[제품], B73, 입출고[구분], "이월")</f>
        <v>22</v>
      </c>
      <c r="G73" s="19">
        <f>SUMIFS(입출고[수량], 입출고[제품], B73, 입출고[구분], "입고")</f>
        <v>0</v>
      </c>
      <c r="H73" s="19">
        <f>SUMIFS(입출고[수량], 입출고[제품], B73, 입출고[구분], "출고")</f>
        <v>0</v>
      </c>
      <c r="I73" s="19">
        <f>SUMIFS(입출고[수량], 입출고[제품], B73, 입출고[구분], "손실")</f>
        <v>0</v>
      </c>
      <c r="J73" s="21">
        <f>제품[이월]+제품[입고]-제품[출고]-제품[손실]</f>
        <v>22</v>
      </c>
    </row>
    <row r="74" spans="1:13" ht="16.5" customHeight="1">
      <c r="A74" s="6">
        <v>73</v>
      </c>
      <c r="B74" s="7" t="s">
        <v>55</v>
      </c>
      <c r="C74" s="8" t="s">
        <v>101</v>
      </c>
      <c r="D74" s="8" t="s">
        <v>8</v>
      </c>
      <c r="E74" s="9">
        <v>35000</v>
      </c>
      <c r="F74" s="9">
        <f>SUMIFS(입출고[수량], 입출고[제품], B74, 입출고[구분], "이월")</f>
        <v>93</v>
      </c>
      <c r="G74" s="19">
        <f>SUMIFS(입출고[수량], 입출고[제품], B74, 입출고[구분], "입고")</f>
        <v>0</v>
      </c>
      <c r="H74" s="19">
        <f>SUMIFS(입출고[수량], 입출고[제품], B74, 입출고[구분], "출고")</f>
        <v>0</v>
      </c>
      <c r="I74" s="19">
        <f>SUMIFS(입출고[수량], 입출고[제품], B74, 입출고[구분], "손실")</f>
        <v>0</v>
      </c>
      <c r="J74" s="21">
        <f>제품[이월]+제품[입고]-제품[출고]-제품[손실]</f>
        <v>93</v>
      </c>
    </row>
    <row r="75" spans="1:13" ht="16.5" customHeight="1">
      <c r="A75" s="6">
        <v>74</v>
      </c>
      <c r="B75" s="7" t="s">
        <v>25</v>
      </c>
      <c r="C75" s="8" t="s">
        <v>88</v>
      </c>
      <c r="D75" s="8" t="s">
        <v>5</v>
      </c>
      <c r="E75" s="9">
        <v>10000</v>
      </c>
      <c r="F75" s="9">
        <f>SUMIFS(입출고[수량], 입출고[제품], B75, 입출고[구분], "이월")</f>
        <v>31</v>
      </c>
      <c r="G75" s="19">
        <f>SUMIFS(입출고[수량], 입출고[제품], B75, 입출고[구분], "입고")</f>
        <v>0</v>
      </c>
      <c r="H75" s="19">
        <f>SUMIFS(입출고[수량], 입출고[제품], B75, 입출고[구분], "출고")</f>
        <v>0</v>
      </c>
      <c r="I75" s="19">
        <f>SUMIFS(입출고[수량], 입출고[제품], B75, 입출고[구분], "손실")</f>
        <v>0</v>
      </c>
      <c r="J75" s="21">
        <f>제품[이월]+제품[입고]-제품[출고]-제품[손실]</f>
        <v>31</v>
      </c>
    </row>
    <row r="76" spans="1:13" ht="16.5" customHeight="1">
      <c r="A76" s="6">
        <v>75</v>
      </c>
      <c r="B76" s="7" t="s">
        <v>56</v>
      </c>
      <c r="C76" s="8" t="s">
        <v>96</v>
      </c>
      <c r="D76" s="8" t="s">
        <v>19</v>
      </c>
      <c r="E76" s="9">
        <v>24000</v>
      </c>
      <c r="F76" s="9">
        <f>SUMIFS(입출고[수량], 입출고[제품], B76, 입출고[구분], "이월")</f>
        <v>30</v>
      </c>
      <c r="G76" s="19">
        <f>SUMIFS(입출고[수량], 입출고[제품], B76, 입출고[구분], "입고")</f>
        <v>0</v>
      </c>
      <c r="H76" s="19">
        <f>SUMIFS(입출고[수량], 입출고[제품], B76, 입출고[구분], "출고")</f>
        <v>0</v>
      </c>
      <c r="I76" s="19">
        <f>SUMIFS(입출고[수량], 입출고[제품], B76, 입출고[구분], "손실")</f>
        <v>0</v>
      </c>
      <c r="J76" s="21">
        <f>제품[이월]+제품[입고]-제품[출고]-제품[손실]</f>
        <v>30</v>
      </c>
    </row>
    <row r="77" spans="1:13" ht="16.5" customHeight="1">
      <c r="A77" s="6">
        <v>76</v>
      </c>
      <c r="B77" s="7" t="s">
        <v>46</v>
      </c>
      <c r="C77" s="8" t="s">
        <v>107</v>
      </c>
      <c r="D77" s="8" t="s">
        <v>19</v>
      </c>
      <c r="E77" s="9">
        <v>3000</v>
      </c>
      <c r="F77" s="9">
        <f>SUMIFS(입출고[수량], 입출고[제품], B77, 입출고[구분], "이월")</f>
        <v>61</v>
      </c>
      <c r="G77" s="19">
        <f>SUMIFS(입출고[수량], 입출고[제품], B77, 입출고[구분], "입고")</f>
        <v>0</v>
      </c>
      <c r="H77" s="19">
        <f>SUMIFS(입출고[수량], 입출고[제품], B77, 입출고[구분], "출고")</f>
        <v>0</v>
      </c>
      <c r="I77" s="19">
        <f>SUMIFS(입출고[수량], 입출고[제품], B77, 입출고[구분], "손실")</f>
        <v>0</v>
      </c>
      <c r="J77" s="21">
        <f>제품[이월]+제품[입고]-제품[출고]-제품[손실]</f>
        <v>61</v>
      </c>
    </row>
    <row r="78" spans="1:13" ht="16.5" customHeight="1">
      <c r="A78" s="6">
        <v>77</v>
      </c>
      <c r="B78" s="7" t="s">
        <v>31</v>
      </c>
      <c r="C78" s="8" t="s">
        <v>96</v>
      </c>
      <c r="D78" s="8" t="s">
        <v>10</v>
      </c>
      <c r="E78" s="9">
        <v>13000</v>
      </c>
      <c r="F78" s="9">
        <f>SUMIFS(입출고[수량], 입출고[제품], B78, 입출고[구분], "이월")</f>
        <v>14</v>
      </c>
      <c r="G78" s="19">
        <f>SUMIFS(입출고[수량], 입출고[제품], B78, 입출고[구분], "입고")</f>
        <v>0</v>
      </c>
      <c r="H78" s="19">
        <f>SUMIFS(입출고[수량], 입출고[제품], B78, 입출고[구분], "출고")</f>
        <v>0</v>
      </c>
      <c r="I78" s="19">
        <f>SUMIFS(입출고[수량], 입출고[제품], B78, 입출고[구분], "손실")</f>
        <v>0</v>
      </c>
      <c r="J78" s="21">
        <f>제품[이월]+제품[입고]-제품[출고]-제품[손실]</f>
        <v>14</v>
      </c>
    </row>
  </sheetData>
  <sortState ref="L1:L8">
    <sortCondition ref="L1"/>
  </sortState>
  <phoneticPr fontId="2" type="noConversion"/>
  <conditionalFormatting sqref="J2:J78">
    <cfRule type="dataBar" priority="1">
      <dataBar>
        <cfvo type="min"/>
        <cfvo type="max"/>
        <color rgb="FFFF555A"/>
      </dataBar>
    </cfRule>
  </conditionalFormatting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83"/>
  <sheetViews>
    <sheetView workbookViewId="0">
      <selection activeCell="B6" sqref="B6"/>
    </sheetView>
  </sheetViews>
  <sheetFormatPr defaultRowHeight="16.5"/>
  <cols>
    <col min="1" max="1" width="9" style="13" customWidth="1"/>
    <col min="2" max="2" width="25" style="13" customWidth="1"/>
    <col min="3" max="6" width="9" style="13" customWidth="1"/>
    <col min="7" max="7" width="25" style="13" customWidth="1"/>
    <col min="8" max="8" width="14.375" style="13" bestFit="1" customWidth="1"/>
    <col min="9" max="16384" width="9" style="13"/>
  </cols>
  <sheetData>
    <row r="1" spans="1:9" s="12" customFormat="1"/>
    <row r="2" spans="1:9" s="12" customFormat="1" ht="22.5" customHeight="1" thickBot="1">
      <c r="G2" s="37"/>
      <c r="H2" s="38"/>
      <c r="I2" s="39"/>
    </row>
    <row r="3" spans="1:9" s="12" customFormat="1"/>
    <row r="4" spans="1:9">
      <c r="A4" s="14"/>
      <c r="B4" s="14"/>
      <c r="C4" s="14"/>
    </row>
    <row r="5" spans="1:9">
      <c r="A5" s="14"/>
      <c r="B5" s="2" t="s">
        <v>124</v>
      </c>
      <c r="C5" s="14"/>
      <c r="G5" s="1" t="s">
        <v>128</v>
      </c>
    </row>
    <row r="6" spans="1:9">
      <c r="A6" s="14"/>
      <c r="B6" s="5" t="s">
        <v>5</v>
      </c>
      <c r="C6" s="14"/>
      <c r="G6" s="18" t="str">
        <f>CHOOSE(OptionValue, "&lt;10", "&lt;20", "&lt;30")</f>
        <v>&lt;20</v>
      </c>
      <c r="I6" s="22">
        <v>2</v>
      </c>
    </row>
    <row r="7" spans="1:9">
      <c r="A7" s="14"/>
      <c r="B7" s="14"/>
      <c r="C7" s="14"/>
    </row>
    <row r="8" spans="1:9">
      <c r="A8" s="14"/>
      <c r="B8" s="42" t="s">
        <v>134</v>
      </c>
      <c r="C8" s="42"/>
      <c r="D8" s="42"/>
      <c r="E8" s="42"/>
      <c r="G8" s="43" t="s">
        <v>133</v>
      </c>
      <c r="H8" s="43"/>
      <c r="I8" s="43"/>
    </row>
    <row r="9" spans="1:9">
      <c r="B9" s="15" t="s">
        <v>135</v>
      </c>
      <c r="C9" s="15" t="s">
        <v>125</v>
      </c>
      <c r="D9" s="15" t="s">
        <v>126</v>
      </c>
      <c r="E9" s="15" t="s">
        <v>131</v>
      </c>
      <c r="G9" s="15" t="s">
        <v>135</v>
      </c>
      <c r="H9" s="15" t="s">
        <v>127</v>
      </c>
      <c r="I9" s="15" t="s">
        <v>128</v>
      </c>
    </row>
    <row r="10" spans="1:9">
      <c r="B10" s="16" t="s">
        <v>40</v>
      </c>
      <c r="C10" s="20"/>
      <c r="D10" s="20"/>
      <c r="E10" s="17"/>
      <c r="G10" s="16" t="s">
        <v>34</v>
      </c>
      <c r="H10" s="40" t="s">
        <v>98</v>
      </c>
      <c r="I10" s="41">
        <v>11</v>
      </c>
    </row>
    <row r="11" spans="1:9">
      <c r="B11" s="16" t="s">
        <v>25</v>
      </c>
      <c r="C11" s="20"/>
      <c r="D11" s="20"/>
      <c r="E11" s="17"/>
      <c r="G11" s="16" t="s">
        <v>29</v>
      </c>
      <c r="H11" s="40" t="s">
        <v>112</v>
      </c>
      <c r="I11" s="41">
        <v>15</v>
      </c>
    </row>
    <row r="12" spans="1:9">
      <c r="B12" s="16" t="s">
        <v>52</v>
      </c>
      <c r="C12" s="20"/>
      <c r="D12" s="20"/>
      <c r="E12" s="17"/>
      <c r="G12" s="16" t="s">
        <v>62</v>
      </c>
      <c r="H12" s="40" t="s">
        <v>105</v>
      </c>
      <c r="I12" s="41">
        <v>11</v>
      </c>
    </row>
    <row r="13" spans="1:9">
      <c r="B13" s="16" t="s">
        <v>7</v>
      </c>
      <c r="C13" s="20"/>
      <c r="D13" s="20"/>
      <c r="E13" s="17"/>
      <c r="G13" s="16" t="s">
        <v>22</v>
      </c>
      <c r="H13" s="40" t="s">
        <v>94</v>
      </c>
      <c r="I13" s="41">
        <v>17</v>
      </c>
    </row>
    <row r="14" spans="1:9">
      <c r="B14" s="16" t="s">
        <v>6</v>
      </c>
      <c r="C14" s="20"/>
      <c r="D14" s="20"/>
      <c r="E14" s="17"/>
      <c r="G14" s="16" t="s">
        <v>11</v>
      </c>
      <c r="H14" s="40" t="s">
        <v>86</v>
      </c>
      <c r="I14" s="41">
        <v>12</v>
      </c>
    </row>
    <row r="15" spans="1:9">
      <c r="B15" s="7"/>
      <c r="C15" s="19"/>
      <c r="D15" s="19"/>
      <c r="E15" s="11"/>
      <c r="G15" s="16" t="s">
        <v>52</v>
      </c>
      <c r="H15" s="40" t="s">
        <v>96</v>
      </c>
      <c r="I15" s="41">
        <v>18</v>
      </c>
    </row>
    <row r="16" spans="1:9">
      <c r="B16" s="7"/>
      <c r="C16" s="19"/>
      <c r="D16" s="19"/>
      <c r="E16" s="11"/>
      <c r="G16" s="16" t="s">
        <v>31</v>
      </c>
      <c r="H16" s="40" t="s">
        <v>96</v>
      </c>
      <c r="I16" s="41">
        <v>14</v>
      </c>
    </row>
    <row r="17" spans="2:9">
      <c r="B17" s="7"/>
      <c r="C17" s="19"/>
      <c r="D17" s="19"/>
      <c r="E17" s="11"/>
      <c r="G17" s="16" t="s">
        <v>7</v>
      </c>
      <c r="H17" s="40" t="s">
        <v>108</v>
      </c>
      <c r="I17" s="41">
        <v>16</v>
      </c>
    </row>
    <row r="18" spans="2:9">
      <c r="B18" s="7"/>
      <c r="C18" s="19"/>
      <c r="D18" s="19"/>
      <c r="E18" s="11"/>
      <c r="G18" s="16" t="s">
        <v>1</v>
      </c>
      <c r="H18" s="40" t="s">
        <v>89</v>
      </c>
      <c r="I18" s="41">
        <v>13</v>
      </c>
    </row>
    <row r="19" spans="2:9">
      <c r="B19" s="7"/>
      <c r="C19" s="19"/>
      <c r="D19" s="19"/>
      <c r="E19" s="11"/>
      <c r="G19" s="7"/>
      <c r="H19" s="8"/>
      <c r="I19" s="21"/>
    </row>
    <row r="20" spans="2:9">
      <c r="B20" s="7"/>
      <c r="C20" s="19"/>
      <c r="D20" s="19"/>
      <c r="E20" s="11"/>
      <c r="G20" s="7"/>
      <c r="H20" s="8"/>
      <c r="I20" s="21"/>
    </row>
    <row r="21" spans="2:9">
      <c r="B21" s="7"/>
      <c r="C21" s="19"/>
      <c r="D21" s="19"/>
      <c r="E21" s="11"/>
      <c r="G21" s="7"/>
      <c r="H21" s="8"/>
      <c r="I21" s="21"/>
    </row>
    <row r="22" spans="2:9">
      <c r="B22" s="7"/>
      <c r="C22" s="19"/>
      <c r="D22" s="19"/>
      <c r="E22" s="11"/>
      <c r="G22" s="7"/>
      <c r="H22" s="8"/>
      <c r="I22" s="21"/>
    </row>
    <row r="23" spans="2:9">
      <c r="G23" s="7"/>
      <c r="H23" s="8"/>
      <c r="I23" s="21"/>
    </row>
    <row r="24" spans="2:9">
      <c r="G24" s="7"/>
      <c r="H24" s="8"/>
      <c r="I24" s="21"/>
    </row>
    <row r="25" spans="2:9">
      <c r="G25" s="7"/>
      <c r="H25" s="8"/>
      <c r="I25" s="21"/>
    </row>
    <row r="26" spans="2:9">
      <c r="G26" s="7"/>
      <c r="H26" s="8"/>
      <c r="I26" s="21"/>
    </row>
    <row r="27" spans="2:9">
      <c r="G27" s="7"/>
      <c r="H27" s="8"/>
      <c r="I27" s="21"/>
    </row>
    <row r="28" spans="2:9">
      <c r="G28" s="7"/>
      <c r="H28" s="8"/>
      <c r="I28" s="21"/>
    </row>
    <row r="29" spans="2:9">
      <c r="G29" s="7"/>
      <c r="H29" s="8"/>
      <c r="I29" s="19"/>
    </row>
    <row r="30" spans="2:9">
      <c r="G30" s="7"/>
      <c r="H30" s="8"/>
      <c r="I30" s="19"/>
    </row>
    <row r="31" spans="2:9">
      <c r="G31" s="7"/>
      <c r="H31" s="8"/>
      <c r="I31" s="19"/>
    </row>
    <row r="32" spans="2:9">
      <c r="G32" s="7"/>
      <c r="H32" s="8"/>
      <c r="I32" s="19"/>
    </row>
    <row r="33" spans="7:9">
      <c r="G33" s="7"/>
      <c r="H33" s="8"/>
      <c r="I33" s="19"/>
    </row>
    <row r="34" spans="7:9">
      <c r="G34" s="7"/>
      <c r="H34" s="8"/>
      <c r="I34" s="19"/>
    </row>
    <row r="35" spans="7:9">
      <c r="G35" s="7"/>
      <c r="H35" s="8"/>
      <c r="I35" s="19"/>
    </row>
    <row r="36" spans="7:9">
      <c r="G36" s="7"/>
      <c r="H36" s="8"/>
      <c r="I36" s="19"/>
    </row>
    <row r="37" spans="7:9">
      <c r="G37" s="7"/>
      <c r="H37" s="8"/>
      <c r="I37" s="19"/>
    </row>
    <row r="38" spans="7:9">
      <c r="G38" s="7"/>
      <c r="H38" s="8"/>
      <c r="I38" s="19"/>
    </row>
    <row r="39" spans="7:9">
      <c r="G39" s="7"/>
      <c r="H39" s="8"/>
      <c r="I39" s="19"/>
    </row>
    <row r="40" spans="7:9">
      <c r="G40" s="7"/>
      <c r="H40" s="8"/>
      <c r="I40" s="19"/>
    </row>
    <row r="41" spans="7:9">
      <c r="G41" s="7"/>
      <c r="H41" s="8"/>
      <c r="I41" s="19"/>
    </row>
    <row r="42" spans="7:9">
      <c r="G42" s="7"/>
      <c r="H42" s="8"/>
      <c r="I42" s="19"/>
    </row>
    <row r="43" spans="7:9">
      <c r="G43" s="7"/>
      <c r="H43" s="8"/>
      <c r="I43" s="19"/>
    </row>
    <row r="44" spans="7:9">
      <c r="G44" s="7"/>
      <c r="H44" s="8"/>
      <c r="I44" s="19"/>
    </row>
    <row r="45" spans="7:9">
      <c r="G45" s="7"/>
      <c r="H45" s="8"/>
      <c r="I45" s="19"/>
    </row>
    <row r="46" spans="7:9">
      <c r="G46" s="7"/>
      <c r="H46" s="8"/>
      <c r="I46" s="19"/>
    </row>
    <row r="47" spans="7:9">
      <c r="G47" s="7"/>
      <c r="H47" s="8"/>
      <c r="I47" s="19"/>
    </row>
    <row r="48" spans="7:9">
      <c r="G48" s="7"/>
      <c r="H48" s="8"/>
      <c r="I48" s="19"/>
    </row>
    <row r="49" spans="7:9">
      <c r="G49" s="7"/>
      <c r="H49" s="8"/>
      <c r="I49" s="19"/>
    </row>
    <row r="50" spans="7:9">
      <c r="G50" s="7"/>
      <c r="H50" s="8"/>
      <c r="I50" s="19"/>
    </row>
    <row r="51" spans="7:9">
      <c r="G51" s="7"/>
      <c r="H51" s="8"/>
      <c r="I51" s="19"/>
    </row>
    <row r="52" spans="7:9">
      <c r="G52" s="7"/>
      <c r="H52" s="8"/>
      <c r="I52" s="19"/>
    </row>
    <row r="53" spans="7:9">
      <c r="G53" s="7"/>
      <c r="H53" s="8"/>
      <c r="I53" s="19"/>
    </row>
    <row r="54" spans="7:9">
      <c r="G54" s="7"/>
      <c r="H54" s="8"/>
      <c r="I54" s="19"/>
    </row>
    <row r="55" spans="7:9">
      <c r="G55" s="7"/>
      <c r="H55" s="8"/>
      <c r="I55" s="19"/>
    </row>
    <row r="56" spans="7:9">
      <c r="G56" s="7"/>
      <c r="H56" s="8"/>
      <c r="I56" s="19"/>
    </row>
    <row r="57" spans="7:9">
      <c r="G57" s="7"/>
      <c r="H57" s="8"/>
      <c r="I57" s="19"/>
    </row>
    <row r="58" spans="7:9">
      <c r="G58" s="7"/>
      <c r="H58" s="8"/>
      <c r="I58" s="19"/>
    </row>
    <row r="59" spans="7:9">
      <c r="G59" s="7"/>
      <c r="H59" s="8"/>
      <c r="I59" s="19"/>
    </row>
    <row r="60" spans="7:9">
      <c r="G60" s="7"/>
      <c r="H60" s="8"/>
      <c r="I60" s="19"/>
    </row>
    <row r="61" spans="7:9">
      <c r="G61" s="7"/>
      <c r="H61" s="8"/>
      <c r="I61" s="19"/>
    </row>
    <row r="62" spans="7:9">
      <c r="G62" s="7"/>
      <c r="H62" s="8"/>
      <c r="I62" s="19"/>
    </row>
    <row r="63" spans="7:9">
      <c r="G63" s="7"/>
      <c r="H63" s="8"/>
      <c r="I63" s="19"/>
    </row>
    <row r="64" spans="7:9">
      <c r="G64" s="7"/>
      <c r="H64" s="8"/>
      <c r="I64" s="19"/>
    </row>
    <row r="65" spans="7:9">
      <c r="G65" s="7"/>
      <c r="H65" s="8"/>
      <c r="I65" s="19"/>
    </row>
    <row r="66" spans="7:9">
      <c r="G66" s="7"/>
      <c r="H66" s="8"/>
      <c r="I66" s="19"/>
    </row>
    <row r="67" spans="7:9">
      <c r="G67" s="7"/>
      <c r="H67" s="8"/>
      <c r="I67" s="19"/>
    </row>
    <row r="68" spans="7:9">
      <c r="G68" s="7"/>
      <c r="H68" s="8"/>
      <c r="I68" s="19"/>
    </row>
    <row r="69" spans="7:9">
      <c r="G69" s="7"/>
      <c r="H69" s="8"/>
      <c r="I69" s="19"/>
    </row>
    <row r="70" spans="7:9">
      <c r="G70" s="7"/>
      <c r="H70" s="8"/>
      <c r="I70" s="19"/>
    </row>
    <row r="71" spans="7:9">
      <c r="G71" s="7"/>
      <c r="H71" s="8"/>
      <c r="I71" s="19"/>
    </row>
    <row r="72" spans="7:9">
      <c r="G72" s="7"/>
      <c r="H72" s="8"/>
      <c r="I72" s="19"/>
    </row>
    <row r="73" spans="7:9">
      <c r="G73" s="7"/>
      <c r="H73" s="8"/>
      <c r="I73" s="19"/>
    </row>
    <row r="74" spans="7:9">
      <c r="G74" s="7"/>
      <c r="H74" s="8"/>
      <c r="I74" s="19"/>
    </row>
    <row r="75" spans="7:9">
      <c r="G75" s="7"/>
      <c r="H75" s="8"/>
      <c r="I75" s="19"/>
    </row>
    <row r="76" spans="7:9">
      <c r="G76" s="7"/>
      <c r="H76" s="8"/>
      <c r="I76" s="19"/>
    </row>
    <row r="77" spans="7:9">
      <c r="G77" s="7"/>
      <c r="H77" s="8"/>
      <c r="I77" s="19"/>
    </row>
    <row r="78" spans="7:9">
      <c r="G78" s="7"/>
      <c r="H78" s="8"/>
      <c r="I78" s="19"/>
    </row>
    <row r="79" spans="7:9">
      <c r="G79" s="7"/>
      <c r="H79" s="8"/>
      <c r="I79" s="19"/>
    </row>
    <row r="80" spans="7:9">
      <c r="G80" s="7"/>
      <c r="H80" s="8"/>
      <c r="I80" s="19"/>
    </row>
    <row r="81" spans="7:9">
      <c r="G81" s="7"/>
      <c r="H81" s="8"/>
      <c r="I81" s="19"/>
    </row>
    <row r="82" spans="7:9">
      <c r="G82" s="7"/>
      <c r="H82" s="8"/>
      <c r="I82" s="19"/>
    </row>
    <row r="83" spans="7:9">
      <c r="G83" s="7"/>
      <c r="H83" s="8"/>
      <c r="I83" s="19"/>
    </row>
  </sheetData>
  <sortState ref="G10:I18">
    <sortCondition ref="H9"/>
  </sortState>
  <mergeCells count="2">
    <mergeCell ref="B8:E8"/>
    <mergeCell ref="G8:I8"/>
  </mergeCells>
  <phoneticPr fontId="1" type="noConversion"/>
  <dataValidations count="1">
    <dataValidation type="list" allowBlank="1" showInputMessage="1" showErrorMessage="1" sqref="B6">
      <formula1>"가공 식품,곡류,과자류,유제품,육류,음료,조미료,해산물"</formula1>
    </dataValidation>
  </dataValidations>
  <pageMargins left="0.75" right="0.75" top="1" bottom="1" header="0.5" footer="0.5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입출고내역기록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Option Button 8">
              <controlPr defaultSize="0" autoFill="0" autoLine="0" autoPict="0" macro="[0]!발주리스트추출및정렬">
                <anchor moveWithCells="1">
                  <from>
                    <xdr:col>6</xdr:col>
                    <xdr:colOff>390525</xdr:colOff>
                    <xdr:row>1</xdr:row>
                    <xdr:rowOff>28575</xdr:rowOff>
                  </from>
                  <to>
                    <xdr:col>6</xdr:col>
                    <xdr:colOff>1200150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Option Button 9">
              <controlPr defaultSize="0" autoFill="0" autoLine="0" autoPict="0" macro="[0]!발주리스트추출및정렬">
                <anchor moveWithCells="1">
                  <from>
                    <xdr:col>6</xdr:col>
                    <xdr:colOff>1438275</xdr:colOff>
                    <xdr:row>1</xdr:row>
                    <xdr:rowOff>28575</xdr:rowOff>
                  </from>
                  <to>
                    <xdr:col>7</xdr:col>
                    <xdr:colOff>342900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Option Button 10">
              <controlPr defaultSize="0" autoFill="0" autoLine="0" autoPict="0" macro="[0]!발주리스트추출및정렬">
                <anchor moveWithCells="1">
                  <from>
                    <xdr:col>7</xdr:col>
                    <xdr:colOff>590550</xdr:colOff>
                    <xdr:row>1</xdr:row>
                    <xdr:rowOff>28575</xdr:rowOff>
                  </from>
                  <to>
                    <xdr:col>8</xdr:col>
                    <xdr:colOff>304800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8"/>
  <sheetViews>
    <sheetView workbookViewId="0">
      <pane ySplit="3990" topLeftCell="A69"/>
      <selection activeCell="B5" sqref="B5"/>
      <selection pane="bottomLeft" activeCell="I85" sqref="I85"/>
    </sheetView>
  </sheetViews>
  <sheetFormatPr defaultRowHeight="16.5"/>
  <cols>
    <col min="1" max="1" width="9.5" bestFit="1" customWidth="1"/>
    <col min="2" max="2" width="25" customWidth="1"/>
    <col min="3" max="4" width="9.5" bestFit="1" customWidth="1"/>
    <col min="5" max="5" width="13.25" bestFit="1" customWidth="1"/>
  </cols>
  <sheetData>
    <row r="1" spans="1:5" ht="17.25" thickBot="1">
      <c r="A1" s="23" t="s">
        <v>137</v>
      </c>
      <c r="B1" s="23" t="s">
        <v>135</v>
      </c>
      <c r="C1" s="23" t="s">
        <v>118</v>
      </c>
      <c r="D1" s="23" t="s">
        <v>119</v>
      </c>
      <c r="E1" s="24" t="s">
        <v>136</v>
      </c>
    </row>
    <row r="2" spans="1:5" ht="17.25" thickTop="1">
      <c r="A2" s="25">
        <v>1</v>
      </c>
      <c r="B2" s="26" t="s">
        <v>20</v>
      </c>
      <c r="C2" s="25" t="s">
        <v>132</v>
      </c>
      <c r="D2" s="27">
        <v>41</v>
      </c>
      <c r="E2" s="28">
        <v>39814</v>
      </c>
    </row>
    <row r="3" spans="1:5">
      <c r="A3" s="29">
        <v>2</v>
      </c>
      <c r="B3" s="30" t="s">
        <v>75</v>
      </c>
      <c r="C3" s="29" t="s">
        <v>132</v>
      </c>
      <c r="D3" s="31">
        <v>54</v>
      </c>
      <c r="E3" s="32">
        <v>39814</v>
      </c>
    </row>
    <row r="4" spans="1:5">
      <c r="A4" s="25">
        <v>3</v>
      </c>
      <c r="B4" s="26" t="s">
        <v>49</v>
      </c>
      <c r="C4" s="25" t="s">
        <v>132</v>
      </c>
      <c r="D4" s="27">
        <v>60</v>
      </c>
      <c r="E4" s="28">
        <v>39814</v>
      </c>
    </row>
    <row r="5" spans="1:5">
      <c r="A5" s="29">
        <v>4</v>
      </c>
      <c r="B5" s="30" t="s">
        <v>18</v>
      </c>
      <c r="C5" s="29" t="s">
        <v>132</v>
      </c>
      <c r="D5" s="31">
        <v>28</v>
      </c>
      <c r="E5" s="32">
        <v>39814</v>
      </c>
    </row>
    <row r="6" spans="1:5">
      <c r="A6" s="25">
        <v>5</v>
      </c>
      <c r="B6" s="26" t="s">
        <v>34</v>
      </c>
      <c r="C6" s="25" t="s">
        <v>132</v>
      </c>
      <c r="D6" s="27">
        <v>11</v>
      </c>
      <c r="E6" s="28">
        <v>39814</v>
      </c>
    </row>
    <row r="7" spans="1:5">
      <c r="A7" s="29">
        <v>6</v>
      </c>
      <c r="B7" s="30" t="s">
        <v>4</v>
      </c>
      <c r="C7" s="29" t="s">
        <v>132</v>
      </c>
      <c r="D7" s="31">
        <v>22</v>
      </c>
      <c r="E7" s="32">
        <v>39814</v>
      </c>
    </row>
    <row r="8" spans="1:5">
      <c r="A8" s="25">
        <v>7</v>
      </c>
      <c r="B8" s="26" t="s">
        <v>67</v>
      </c>
      <c r="C8" s="25" t="s">
        <v>132</v>
      </c>
      <c r="D8" s="27">
        <v>22</v>
      </c>
      <c r="E8" s="28">
        <v>39814</v>
      </c>
    </row>
    <row r="9" spans="1:5">
      <c r="A9" s="29">
        <v>8</v>
      </c>
      <c r="B9" s="30" t="s">
        <v>54</v>
      </c>
      <c r="C9" s="29" t="s">
        <v>132</v>
      </c>
      <c r="D9" s="31">
        <v>25</v>
      </c>
      <c r="E9" s="32">
        <v>39814</v>
      </c>
    </row>
    <row r="10" spans="1:5">
      <c r="A10" s="25">
        <v>9</v>
      </c>
      <c r="B10" s="26" t="s">
        <v>72</v>
      </c>
      <c r="C10" s="25" t="s">
        <v>132</v>
      </c>
      <c r="D10" s="27">
        <v>59</v>
      </c>
      <c r="E10" s="28">
        <v>39814</v>
      </c>
    </row>
    <row r="11" spans="1:5">
      <c r="A11" s="29">
        <v>10</v>
      </c>
      <c r="B11" s="30" t="s">
        <v>15</v>
      </c>
      <c r="C11" s="29" t="s">
        <v>132</v>
      </c>
      <c r="D11" s="31">
        <v>65</v>
      </c>
      <c r="E11" s="32">
        <v>39814</v>
      </c>
    </row>
    <row r="12" spans="1:5">
      <c r="A12" s="25">
        <v>11</v>
      </c>
      <c r="B12" s="26" t="s">
        <v>40</v>
      </c>
      <c r="C12" s="25" t="s">
        <v>132</v>
      </c>
      <c r="D12" s="27">
        <v>38</v>
      </c>
      <c r="E12" s="28">
        <v>39814</v>
      </c>
    </row>
    <row r="13" spans="1:5">
      <c r="A13" s="29">
        <v>12</v>
      </c>
      <c r="B13" s="30" t="s">
        <v>79</v>
      </c>
      <c r="C13" s="29" t="s">
        <v>132</v>
      </c>
      <c r="D13" s="31">
        <v>39</v>
      </c>
      <c r="E13" s="32">
        <v>39814</v>
      </c>
    </row>
    <row r="14" spans="1:5">
      <c r="A14" s="25">
        <v>13</v>
      </c>
      <c r="B14" s="26" t="s">
        <v>71</v>
      </c>
      <c r="C14" s="25" t="s">
        <v>132</v>
      </c>
      <c r="D14" s="27">
        <v>60</v>
      </c>
      <c r="E14" s="28">
        <v>39814</v>
      </c>
    </row>
    <row r="15" spans="1:5">
      <c r="A15" s="29">
        <v>14</v>
      </c>
      <c r="B15" s="30" t="s">
        <v>35</v>
      </c>
      <c r="C15" s="29" t="s">
        <v>132</v>
      </c>
      <c r="D15" s="31">
        <v>94</v>
      </c>
      <c r="E15" s="32">
        <v>39814</v>
      </c>
    </row>
    <row r="16" spans="1:5">
      <c r="A16" s="25">
        <v>15</v>
      </c>
      <c r="B16" s="26" t="s">
        <v>17</v>
      </c>
      <c r="C16" s="25" t="s">
        <v>132</v>
      </c>
      <c r="D16" s="27">
        <v>86</v>
      </c>
      <c r="E16" s="28">
        <v>39814</v>
      </c>
    </row>
    <row r="17" spans="1:5">
      <c r="A17" s="29">
        <v>16</v>
      </c>
      <c r="B17" s="30" t="s">
        <v>29</v>
      </c>
      <c r="C17" s="29" t="s">
        <v>132</v>
      </c>
      <c r="D17" s="31">
        <v>15</v>
      </c>
      <c r="E17" s="32">
        <v>39814</v>
      </c>
    </row>
    <row r="18" spans="1:5">
      <c r="A18" s="25">
        <v>17</v>
      </c>
      <c r="B18" s="26" t="s">
        <v>53</v>
      </c>
      <c r="C18" s="25" t="s">
        <v>132</v>
      </c>
      <c r="D18" s="27">
        <v>55</v>
      </c>
      <c r="E18" s="28">
        <v>39814</v>
      </c>
    </row>
    <row r="19" spans="1:5">
      <c r="A19" s="29">
        <v>18</v>
      </c>
      <c r="B19" s="30" t="s">
        <v>11</v>
      </c>
      <c r="C19" s="29" t="s">
        <v>132</v>
      </c>
      <c r="D19" s="31">
        <v>12</v>
      </c>
      <c r="E19" s="32">
        <v>39814</v>
      </c>
    </row>
    <row r="20" spans="1:5">
      <c r="A20" s="25">
        <v>19</v>
      </c>
      <c r="B20" s="26" t="s">
        <v>64</v>
      </c>
      <c r="C20" s="25" t="s">
        <v>132</v>
      </c>
      <c r="D20" s="27">
        <v>47</v>
      </c>
      <c r="E20" s="28">
        <v>39814</v>
      </c>
    </row>
    <row r="21" spans="1:5">
      <c r="A21" s="29">
        <v>20</v>
      </c>
      <c r="B21" s="30" t="s">
        <v>21</v>
      </c>
      <c r="C21" s="29" t="s">
        <v>132</v>
      </c>
      <c r="D21" s="31">
        <v>96</v>
      </c>
      <c r="E21" s="32">
        <v>39814</v>
      </c>
    </row>
    <row r="22" spans="1:5">
      <c r="A22" s="25">
        <v>21</v>
      </c>
      <c r="B22" s="26" t="s">
        <v>46</v>
      </c>
      <c r="C22" s="25" t="s">
        <v>132</v>
      </c>
      <c r="D22" s="27">
        <v>61</v>
      </c>
      <c r="E22" s="28">
        <v>39814</v>
      </c>
    </row>
    <row r="23" spans="1:5">
      <c r="A23" s="29">
        <v>22</v>
      </c>
      <c r="B23" s="30" t="s">
        <v>80</v>
      </c>
      <c r="C23" s="29" t="s">
        <v>132</v>
      </c>
      <c r="D23" s="31">
        <v>31</v>
      </c>
      <c r="E23" s="32">
        <v>39814</v>
      </c>
    </row>
    <row r="24" spans="1:5">
      <c r="A24" s="25">
        <v>23</v>
      </c>
      <c r="B24" s="26" t="s">
        <v>81</v>
      </c>
      <c r="C24" s="25" t="s">
        <v>132</v>
      </c>
      <c r="D24" s="27">
        <v>96</v>
      </c>
      <c r="E24" s="28">
        <v>39814</v>
      </c>
    </row>
    <row r="25" spans="1:5">
      <c r="A25" s="29">
        <v>24</v>
      </c>
      <c r="B25" s="30" t="s">
        <v>62</v>
      </c>
      <c r="C25" s="29" t="s">
        <v>132</v>
      </c>
      <c r="D25" s="31">
        <v>11</v>
      </c>
      <c r="E25" s="32">
        <v>39814</v>
      </c>
    </row>
    <row r="26" spans="1:5">
      <c r="A26" s="25">
        <v>25</v>
      </c>
      <c r="B26" s="26" t="s">
        <v>45</v>
      </c>
      <c r="C26" s="25" t="s">
        <v>132</v>
      </c>
      <c r="D26" s="27">
        <v>41</v>
      </c>
      <c r="E26" s="28">
        <v>39814</v>
      </c>
    </row>
    <row r="27" spans="1:5">
      <c r="A27" s="29">
        <v>26</v>
      </c>
      <c r="B27" s="30" t="s">
        <v>84</v>
      </c>
      <c r="C27" s="29" t="s">
        <v>132</v>
      </c>
      <c r="D27" s="31">
        <v>29</v>
      </c>
      <c r="E27" s="32">
        <v>39814</v>
      </c>
    </row>
    <row r="28" spans="1:5">
      <c r="A28" s="25">
        <v>27</v>
      </c>
      <c r="B28" s="26" t="s">
        <v>37</v>
      </c>
      <c r="C28" s="25" t="s">
        <v>132</v>
      </c>
      <c r="D28" s="27">
        <v>40</v>
      </c>
      <c r="E28" s="28">
        <v>39814</v>
      </c>
    </row>
    <row r="29" spans="1:5">
      <c r="A29" s="29">
        <v>28</v>
      </c>
      <c r="B29" s="30" t="s">
        <v>83</v>
      </c>
      <c r="C29" s="29" t="s">
        <v>132</v>
      </c>
      <c r="D29" s="31">
        <v>61</v>
      </c>
      <c r="E29" s="32">
        <v>39814</v>
      </c>
    </row>
    <row r="30" spans="1:5">
      <c r="A30" s="25">
        <v>29</v>
      </c>
      <c r="B30" s="26" t="s">
        <v>22</v>
      </c>
      <c r="C30" s="25" t="s">
        <v>132</v>
      </c>
      <c r="D30" s="27">
        <v>17</v>
      </c>
      <c r="E30" s="28">
        <v>39814</v>
      </c>
    </row>
    <row r="31" spans="1:5">
      <c r="A31" s="29">
        <v>30</v>
      </c>
      <c r="B31" s="30" t="s">
        <v>25</v>
      </c>
      <c r="C31" s="29" t="s">
        <v>132</v>
      </c>
      <c r="D31" s="31">
        <v>31</v>
      </c>
      <c r="E31" s="32">
        <v>39814</v>
      </c>
    </row>
    <row r="32" spans="1:5">
      <c r="A32" s="25">
        <v>31</v>
      </c>
      <c r="B32" s="26" t="s">
        <v>12</v>
      </c>
      <c r="C32" s="25" t="s">
        <v>132</v>
      </c>
      <c r="D32" s="27">
        <v>27</v>
      </c>
      <c r="E32" s="28">
        <v>39814</v>
      </c>
    </row>
    <row r="33" spans="1:5">
      <c r="A33" s="29">
        <v>32</v>
      </c>
      <c r="B33" s="30" t="s">
        <v>78</v>
      </c>
      <c r="C33" s="29" t="s">
        <v>132</v>
      </c>
      <c r="D33" s="31">
        <v>71</v>
      </c>
      <c r="E33" s="32">
        <v>39814</v>
      </c>
    </row>
    <row r="34" spans="1:5">
      <c r="A34" s="25">
        <v>33</v>
      </c>
      <c r="B34" s="26" t="s">
        <v>70</v>
      </c>
      <c r="C34" s="25" t="s">
        <v>132</v>
      </c>
      <c r="D34" s="27">
        <v>23</v>
      </c>
      <c r="E34" s="28">
        <v>39814</v>
      </c>
    </row>
    <row r="35" spans="1:5">
      <c r="A35" s="29">
        <v>34</v>
      </c>
      <c r="B35" s="30" t="s">
        <v>33</v>
      </c>
      <c r="C35" s="29" t="s">
        <v>132</v>
      </c>
      <c r="D35" s="31">
        <v>39</v>
      </c>
      <c r="E35" s="32">
        <v>39814</v>
      </c>
    </row>
    <row r="36" spans="1:5">
      <c r="A36" s="25">
        <v>35</v>
      </c>
      <c r="B36" s="26" t="s">
        <v>57</v>
      </c>
      <c r="C36" s="25" t="s">
        <v>132</v>
      </c>
      <c r="D36" s="27">
        <v>47</v>
      </c>
      <c r="E36" s="28">
        <v>39814</v>
      </c>
    </row>
    <row r="37" spans="1:5">
      <c r="A37" s="29">
        <v>36</v>
      </c>
      <c r="B37" s="30" t="s">
        <v>3</v>
      </c>
      <c r="C37" s="29" t="s">
        <v>132</v>
      </c>
      <c r="D37" s="31">
        <v>91</v>
      </c>
      <c r="E37" s="32">
        <v>39814</v>
      </c>
    </row>
    <row r="38" spans="1:5">
      <c r="A38" s="25">
        <v>37</v>
      </c>
      <c r="B38" s="26" t="s">
        <v>31</v>
      </c>
      <c r="C38" s="25" t="s">
        <v>132</v>
      </c>
      <c r="D38" s="27">
        <v>14</v>
      </c>
      <c r="E38" s="28">
        <v>39814</v>
      </c>
    </row>
    <row r="39" spans="1:5">
      <c r="A39" s="29">
        <v>38</v>
      </c>
      <c r="B39" s="30" t="s">
        <v>47</v>
      </c>
      <c r="C39" s="29" t="s">
        <v>132</v>
      </c>
      <c r="D39" s="31">
        <v>46</v>
      </c>
      <c r="E39" s="32">
        <v>39814</v>
      </c>
    </row>
    <row r="40" spans="1:5">
      <c r="A40" s="25">
        <v>39</v>
      </c>
      <c r="B40" s="26" t="s">
        <v>66</v>
      </c>
      <c r="C40" s="25" t="s">
        <v>132</v>
      </c>
      <c r="D40" s="27">
        <v>99</v>
      </c>
      <c r="E40" s="28">
        <v>39814</v>
      </c>
    </row>
    <row r="41" spans="1:5">
      <c r="A41" s="29">
        <v>40</v>
      </c>
      <c r="B41" s="30" t="s">
        <v>52</v>
      </c>
      <c r="C41" s="29" t="s">
        <v>132</v>
      </c>
      <c r="D41" s="31">
        <v>18</v>
      </c>
      <c r="E41" s="32">
        <v>39814</v>
      </c>
    </row>
    <row r="42" spans="1:5">
      <c r="A42" s="25">
        <v>41</v>
      </c>
      <c r="B42" s="26" t="s">
        <v>56</v>
      </c>
      <c r="C42" s="25" t="s">
        <v>132</v>
      </c>
      <c r="D42" s="27">
        <v>30</v>
      </c>
      <c r="E42" s="28">
        <v>39814</v>
      </c>
    </row>
    <row r="43" spans="1:5">
      <c r="A43" s="29">
        <v>42</v>
      </c>
      <c r="B43" s="30" t="s">
        <v>43</v>
      </c>
      <c r="C43" s="29" t="s">
        <v>132</v>
      </c>
      <c r="D43" s="31">
        <v>62</v>
      </c>
      <c r="E43" s="32">
        <v>39814</v>
      </c>
    </row>
    <row r="44" spans="1:5">
      <c r="A44" s="25">
        <v>43</v>
      </c>
      <c r="B44" s="26" t="s">
        <v>76</v>
      </c>
      <c r="C44" s="25" t="s">
        <v>132</v>
      </c>
      <c r="D44" s="27">
        <v>43</v>
      </c>
      <c r="E44" s="28">
        <v>39814</v>
      </c>
    </row>
    <row r="45" spans="1:5">
      <c r="A45" s="29">
        <v>44</v>
      </c>
      <c r="B45" s="30" t="s">
        <v>74</v>
      </c>
      <c r="C45" s="29" t="s">
        <v>132</v>
      </c>
      <c r="D45" s="31">
        <v>72</v>
      </c>
      <c r="E45" s="32">
        <v>39814</v>
      </c>
    </row>
    <row r="46" spans="1:5">
      <c r="A46" s="25">
        <v>45</v>
      </c>
      <c r="B46" s="26" t="s">
        <v>32</v>
      </c>
      <c r="C46" s="25" t="s">
        <v>132</v>
      </c>
      <c r="D46" s="27">
        <v>36</v>
      </c>
      <c r="E46" s="28">
        <v>39814</v>
      </c>
    </row>
    <row r="47" spans="1:5">
      <c r="A47" s="29">
        <v>46</v>
      </c>
      <c r="B47" s="30" t="s">
        <v>55</v>
      </c>
      <c r="C47" s="29" t="s">
        <v>132</v>
      </c>
      <c r="D47" s="31">
        <v>93</v>
      </c>
      <c r="E47" s="32">
        <v>39814</v>
      </c>
    </row>
    <row r="48" spans="1:5">
      <c r="A48" s="25">
        <v>47</v>
      </c>
      <c r="B48" s="26" t="s">
        <v>7</v>
      </c>
      <c r="C48" s="25" t="s">
        <v>132</v>
      </c>
      <c r="D48" s="27">
        <v>16</v>
      </c>
      <c r="E48" s="28">
        <v>39814</v>
      </c>
    </row>
    <row r="49" spans="1:5">
      <c r="A49" s="29">
        <v>48</v>
      </c>
      <c r="B49" s="30" t="s">
        <v>58</v>
      </c>
      <c r="C49" s="29" t="s">
        <v>132</v>
      </c>
      <c r="D49" s="31">
        <v>55</v>
      </c>
      <c r="E49" s="32">
        <v>39814</v>
      </c>
    </row>
    <row r="50" spans="1:5">
      <c r="A50" s="25">
        <v>49</v>
      </c>
      <c r="B50" s="26" t="s">
        <v>6</v>
      </c>
      <c r="C50" s="25" t="s">
        <v>132</v>
      </c>
      <c r="D50" s="27">
        <v>66</v>
      </c>
      <c r="E50" s="28">
        <v>39814</v>
      </c>
    </row>
    <row r="51" spans="1:5">
      <c r="A51" s="29">
        <v>50</v>
      </c>
      <c r="B51" s="30" t="s">
        <v>51</v>
      </c>
      <c r="C51" s="29" t="s">
        <v>132</v>
      </c>
      <c r="D51" s="31">
        <v>76</v>
      </c>
      <c r="E51" s="32">
        <v>39814</v>
      </c>
    </row>
    <row r="52" spans="1:5">
      <c r="A52" s="25">
        <v>51</v>
      </c>
      <c r="B52" s="26" t="s">
        <v>69</v>
      </c>
      <c r="C52" s="25" t="s">
        <v>132</v>
      </c>
      <c r="D52" s="27">
        <v>75</v>
      </c>
      <c r="E52" s="28">
        <v>39814</v>
      </c>
    </row>
    <row r="53" spans="1:5">
      <c r="A53" s="29">
        <v>52</v>
      </c>
      <c r="B53" s="30" t="s">
        <v>77</v>
      </c>
      <c r="C53" s="29" t="s">
        <v>132</v>
      </c>
      <c r="D53" s="31">
        <v>70</v>
      </c>
      <c r="E53" s="32">
        <v>39814</v>
      </c>
    </row>
    <row r="54" spans="1:5">
      <c r="A54" s="25">
        <v>53</v>
      </c>
      <c r="B54" s="26" t="s">
        <v>82</v>
      </c>
      <c r="C54" s="25" t="s">
        <v>132</v>
      </c>
      <c r="D54" s="27">
        <v>76</v>
      </c>
      <c r="E54" s="28">
        <v>39814</v>
      </c>
    </row>
    <row r="55" spans="1:5">
      <c r="A55" s="29">
        <v>54</v>
      </c>
      <c r="B55" s="30" t="s">
        <v>48</v>
      </c>
      <c r="C55" s="29" t="s">
        <v>132</v>
      </c>
      <c r="D55" s="31">
        <v>59</v>
      </c>
      <c r="E55" s="32">
        <v>39814</v>
      </c>
    </row>
    <row r="56" spans="1:5">
      <c r="A56" s="25">
        <v>55</v>
      </c>
      <c r="B56" s="26" t="s">
        <v>26</v>
      </c>
      <c r="C56" s="25" t="s">
        <v>132</v>
      </c>
      <c r="D56" s="27">
        <v>21</v>
      </c>
      <c r="E56" s="28">
        <v>39814</v>
      </c>
    </row>
    <row r="57" spans="1:5">
      <c r="A57" s="29">
        <v>56</v>
      </c>
      <c r="B57" s="30" t="s">
        <v>60</v>
      </c>
      <c r="C57" s="29" t="s">
        <v>132</v>
      </c>
      <c r="D57" s="31">
        <v>31</v>
      </c>
      <c r="E57" s="32">
        <v>39814</v>
      </c>
    </row>
    <row r="58" spans="1:5">
      <c r="A58" s="25">
        <v>57</v>
      </c>
      <c r="B58" s="26" t="s">
        <v>65</v>
      </c>
      <c r="C58" s="25" t="s">
        <v>132</v>
      </c>
      <c r="D58" s="27">
        <v>22</v>
      </c>
      <c r="E58" s="28">
        <v>39814</v>
      </c>
    </row>
    <row r="59" spans="1:5">
      <c r="A59" s="29">
        <v>58</v>
      </c>
      <c r="B59" s="30" t="s">
        <v>61</v>
      </c>
      <c r="C59" s="29" t="s">
        <v>132</v>
      </c>
      <c r="D59" s="31">
        <v>39</v>
      </c>
      <c r="E59" s="32">
        <v>39814</v>
      </c>
    </row>
    <row r="60" spans="1:5">
      <c r="A60" s="25">
        <v>59</v>
      </c>
      <c r="B60" s="26" t="s">
        <v>59</v>
      </c>
      <c r="C60" s="25" t="s">
        <v>132</v>
      </c>
      <c r="D60" s="27">
        <v>51</v>
      </c>
      <c r="E60" s="28">
        <v>39814</v>
      </c>
    </row>
    <row r="61" spans="1:5">
      <c r="A61" s="29">
        <v>60</v>
      </c>
      <c r="B61" s="30" t="s">
        <v>39</v>
      </c>
      <c r="C61" s="29" t="s">
        <v>132</v>
      </c>
      <c r="D61" s="31">
        <v>48</v>
      </c>
      <c r="E61" s="32">
        <v>39814</v>
      </c>
    </row>
    <row r="62" spans="1:5">
      <c r="A62" s="25">
        <v>61</v>
      </c>
      <c r="B62" s="26" t="s">
        <v>42</v>
      </c>
      <c r="C62" s="25" t="s">
        <v>132</v>
      </c>
      <c r="D62" s="27">
        <v>100</v>
      </c>
      <c r="E62" s="28">
        <v>39814</v>
      </c>
    </row>
    <row r="63" spans="1:5">
      <c r="A63" s="29">
        <v>62</v>
      </c>
      <c r="B63" s="30" t="s">
        <v>38</v>
      </c>
      <c r="C63" s="29" t="s">
        <v>132</v>
      </c>
      <c r="D63" s="31">
        <v>84</v>
      </c>
      <c r="E63" s="32">
        <v>39814</v>
      </c>
    </row>
    <row r="64" spans="1:5">
      <c r="A64" s="25">
        <v>63</v>
      </c>
      <c r="B64" s="26" t="s">
        <v>28</v>
      </c>
      <c r="C64" s="25" t="s">
        <v>132</v>
      </c>
      <c r="D64" s="27">
        <v>37</v>
      </c>
      <c r="E64" s="28">
        <v>39814</v>
      </c>
    </row>
    <row r="65" spans="1:5">
      <c r="A65" s="29">
        <v>64</v>
      </c>
      <c r="B65" s="30" t="s">
        <v>27</v>
      </c>
      <c r="C65" s="29" t="s">
        <v>132</v>
      </c>
      <c r="D65" s="31">
        <v>46</v>
      </c>
      <c r="E65" s="32">
        <v>39814</v>
      </c>
    </row>
    <row r="66" spans="1:5">
      <c r="A66" s="25">
        <v>65</v>
      </c>
      <c r="B66" s="26" t="s">
        <v>30</v>
      </c>
      <c r="C66" s="25" t="s">
        <v>132</v>
      </c>
      <c r="D66" s="27">
        <v>91</v>
      </c>
      <c r="E66" s="28">
        <v>39814</v>
      </c>
    </row>
    <row r="67" spans="1:5">
      <c r="A67" s="29">
        <v>66</v>
      </c>
      <c r="B67" s="30" t="s">
        <v>36</v>
      </c>
      <c r="C67" s="29" t="s">
        <v>132</v>
      </c>
      <c r="D67" s="31">
        <v>46</v>
      </c>
      <c r="E67" s="32">
        <v>39814</v>
      </c>
    </row>
    <row r="68" spans="1:5">
      <c r="A68" s="25">
        <v>67</v>
      </c>
      <c r="B68" s="26" t="s">
        <v>73</v>
      </c>
      <c r="C68" s="25" t="s">
        <v>132</v>
      </c>
      <c r="D68" s="27">
        <v>21</v>
      </c>
      <c r="E68" s="28">
        <v>39814</v>
      </c>
    </row>
    <row r="69" spans="1:5">
      <c r="A69" s="29">
        <v>68</v>
      </c>
      <c r="B69" s="30" t="s">
        <v>16</v>
      </c>
      <c r="C69" s="29" t="s">
        <v>132</v>
      </c>
      <c r="D69" s="31">
        <v>45</v>
      </c>
      <c r="E69" s="32">
        <v>39814</v>
      </c>
    </row>
    <row r="70" spans="1:5">
      <c r="A70" s="25">
        <v>69</v>
      </c>
      <c r="B70" s="26" t="s">
        <v>68</v>
      </c>
      <c r="C70" s="25" t="s">
        <v>132</v>
      </c>
      <c r="D70" s="27">
        <v>92</v>
      </c>
      <c r="E70" s="28">
        <v>39814</v>
      </c>
    </row>
    <row r="71" spans="1:5">
      <c r="A71" s="29">
        <v>70</v>
      </c>
      <c r="B71" s="30" t="s">
        <v>50</v>
      </c>
      <c r="C71" s="29" t="s">
        <v>132</v>
      </c>
      <c r="D71" s="31">
        <v>56</v>
      </c>
      <c r="E71" s="32">
        <v>39814</v>
      </c>
    </row>
    <row r="72" spans="1:5">
      <c r="A72" s="25">
        <v>71</v>
      </c>
      <c r="B72" s="26" t="s">
        <v>24</v>
      </c>
      <c r="C72" s="25" t="s">
        <v>132</v>
      </c>
      <c r="D72" s="27">
        <v>86</v>
      </c>
      <c r="E72" s="28">
        <v>39814</v>
      </c>
    </row>
    <row r="73" spans="1:5">
      <c r="A73" s="29">
        <v>72</v>
      </c>
      <c r="B73" s="30" t="s">
        <v>63</v>
      </c>
      <c r="C73" s="29" t="s">
        <v>132</v>
      </c>
      <c r="D73" s="31">
        <v>89</v>
      </c>
      <c r="E73" s="32">
        <v>39814</v>
      </c>
    </row>
    <row r="74" spans="1:5">
      <c r="A74" s="25">
        <v>73</v>
      </c>
      <c r="B74" s="26" t="s">
        <v>41</v>
      </c>
      <c r="C74" s="25" t="s">
        <v>132</v>
      </c>
      <c r="D74" s="27">
        <v>41</v>
      </c>
      <c r="E74" s="28">
        <v>39814</v>
      </c>
    </row>
    <row r="75" spans="1:5">
      <c r="A75" s="29">
        <v>74</v>
      </c>
      <c r="B75" s="30" t="s">
        <v>13</v>
      </c>
      <c r="C75" s="29" t="s">
        <v>132</v>
      </c>
      <c r="D75" s="31">
        <v>62</v>
      </c>
      <c r="E75" s="32">
        <v>39814</v>
      </c>
    </row>
    <row r="76" spans="1:5">
      <c r="A76" s="25">
        <v>75</v>
      </c>
      <c r="B76" s="26" t="s">
        <v>44</v>
      </c>
      <c r="C76" s="25" t="s">
        <v>132</v>
      </c>
      <c r="D76" s="27">
        <v>60</v>
      </c>
      <c r="E76" s="28">
        <v>39814</v>
      </c>
    </row>
    <row r="77" spans="1:5">
      <c r="A77" s="29">
        <v>76</v>
      </c>
      <c r="B77" s="30" t="s">
        <v>1</v>
      </c>
      <c r="C77" s="29" t="s">
        <v>132</v>
      </c>
      <c r="D77" s="31">
        <v>13</v>
      </c>
      <c r="E77" s="32">
        <v>39814</v>
      </c>
    </row>
    <row r="78" spans="1:5">
      <c r="A78" s="33">
        <v>77</v>
      </c>
      <c r="B78" s="34" t="s">
        <v>9</v>
      </c>
      <c r="C78" s="33" t="s">
        <v>132</v>
      </c>
      <c r="D78" s="35">
        <v>30</v>
      </c>
      <c r="E78" s="36">
        <v>39814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7</vt:i4>
      </vt:variant>
    </vt:vector>
  </HeadingPairs>
  <TitlesOfParts>
    <vt:vector size="10" baseType="lpstr">
      <vt:lpstr>제품</vt:lpstr>
      <vt:lpstr>재고관리</vt:lpstr>
      <vt:lpstr>입출고</vt:lpstr>
      <vt:lpstr>_1stCopyTo</vt:lpstr>
      <vt:lpstr>_1stCriteria</vt:lpstr>
      <vt:lpstr>_2ndCopyTo</vt:lpstr>
      <vt:lpstr>_2ndCriteria</vt:lpstr>
      <vt:lpstr>재고관리!Criteria</vt:lpstr>
      <vt:lpstr>재고관리!Extract</vt:lpstr>
      <vt:lpstr>OptionValue</vt:lpstr>
    </vt:vector>
  </TitlesOfParts>
  <Company>freelancer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286pc</dc:creator>
  <cp:lastModifiedBy>하루하나</cp:lastModifiedBy>
  <dcterms:created xsi:type="dcterms:W3CDTF">2006-04-10T21:23:52Z</dcterms:created>
  <dcterms:modified xsi:type="dcterms:W3CDTF">2011-06-29T01:40:48Z</dcterms:modified>
</cp:coreProperties>
</file>