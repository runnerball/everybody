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hidePivotFieldList="1" defaultThemeVersion="124226"/>
  <bookViews>
    <workbookView xWindow="240" yWindow="30" windowWidth="7935" windowHeight="4365" tabRatio="765" activeTab="1"/>
  </bookViews>
  <sheets>
    <sheet name="제품" sheetId="2" r:id="rId1"/>
    <sheet name="고객" sheetId="4" r:id="rId2"/>
    <sheet name="분류" sheetId="9" r:id="rId3"/>
    <sheet name="견적서관리" sheetId="10" r:id="rId4"/>
    <sheet name="견적서" sheetId="11" state="veryHidden" r:id="rId5"/>
  </sheets>
  <definedNames>
    <definedName name="_xlnm._FilterDatabase" localSheetId="0" hidden="1">제품!$A$1:$E$78</definedName>
    <definedName name="chk부가세">견적서관리!$R$17</definedName>
    <definedName name="견적내역시작셀">견적서관리!$B$21</definedName>
    <definedName name="고객명">고객!$A$2:$A$22</definedName>
    <definedName name="분류">분류!$A$2:$A$9</definedName>
    <definedName name="의뢰자">견적서관리!$L$7</definedName>
  </definedNames>
  <calcPr calcId="144525"/>
</workbook>
</file>

<file path=xl/calcChain.xml><?xml version="1.0" encoding="utf-8"?>
<calcChain xmlns="http://schemas.openxmlformats.org/spreadsheetml/2006/main">
  <c r="E47" i="11" l="1"/>
  <c r="L13" i="10" l="1"/>
  <c r="L12" i="10"/>
  <c r="E53" i="11" s="1"/>
  <c r="L11" i="10"/>
  <c r="L10" i="10"/>
  <c r="L9" i="10"/>
  <c r="E51" i="11" s="1"/>
  <c r="L8" i="10"/>
  <c r="E49" i="11" s="1"/>
  <c r="G73" i="11"/>
  <c r="M47" i="11"/>
  <c r="E5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C35" i="11"/>
  <c r="C34" i="11"/>
  <c r="C33" i="11"/>
  <c r="C32" i="11"/>
  <c r="C31" i="11"/>
  <c r="B31" i="11" s="1"/>
  <c r="C30" i="11"/>
  <c r="B30" i="11" s="1"/>
  <c r="C29" i="11"/>
  <c r="B29" i="11" s="1"/>
  <c r="C28" i="11"/>
  <c r="B28" i="11" s="1"/>
  <c r="C27" i="11"/>
  <c r="C26" i="11"/>
  <c r="C25" i="11"/>
  <c r="C24" i="11"/>
  <c r="C23" i="11"/>
  <c r="B23" i="11" s="1"/>
  <c r="C22" i="11"/>
  <c r="B22" i="11" s="1"/>
  <c r="C21" i="11"/>
  <c r="B21" i="11" s="1"/>
  <c r="C20" i="11"/>
  <c r="B20" i="11" s="1"/>
  <c r="C19" i="11"/>
  <c r="C18" i="11"/>
  <c r="C17" i="11"/>
  <c r="C16" i="11"/>
  <c r="B35" i="11"/>
  <c r="B34" i="11"/>
  <c r="B33" i="11"/>
  <c r="B32" i="11"/>
  <c r="B27" i="11"/>
  <c r="B26" i="11"/>
  <c r="B25" i="11"/>
  <c r="B24" i="11"/>
  <c r="B19" i="11"/>
  <c r="B18" i="11"/>
  <c r="B17" i="11"/>
  <c r="B16" i="11"/>
  <c r="M11" i="11"/>
  <c r="M10" i="11"/>
  <c r="M8" i="11"/>
  <c r="M7" i="11"/>
  <c r="M6" i="11"/>
  <c r="M5" i="11"/>
  <c r="B8" i="11"/>
  <c r="B5" i="11"/>
  <c r="D17" i="10" l="1"/>
  <c r="M22" i="10"/>
  <c r="K17" i="11" s="1"/>
  <c r="M23" i="10"/>
  <c r="K18" i="11" s="1"/>
  <c r="M24" i="10"/>
  <c r="K19" i="11" s="1"/>
  <c r="M25" i="10"/>
  <c r="K20" i="11" s="1"/>
  <c r="M26" i="10"/>
  <c r="K21" i="11" s="1"/>
  <c r="M27" i="10"/>
  <c r="K22" i="11" s="1"/>
  <c r="M28" i="10"/>
  <c r="K23" i="11" s="1"/>
  <c r="M29" i="10"/>
  <c r="K24" i="11" s="1"/>
  <c r="M30" i="10"/>
  <c r="K25" i="11" s="1"/>
  <c r="M31" i="10"/>
  <c r="K26" i="11" s="1"/>
  <c r="M32" i="10"/>
  <c r="K27" i="11" s="1"/>
  <c r="M33" i="10"/>
  <c r="K28" i="11" s="1"/>
  <c r="M34" i="10"/>
  <c r="K29" i="11" s="1"/>
  <c r="M35" i="10"/>
  <c r="K30" i="11" s="1"/>
  <c r="M36" i="10"/>
  <c r="K31" i="11" s="1"/>
  <c r="M37" i="10"/>
  <c r="K32" i="11" s="1"/>
  <c r="M38" i="10"/>
  <c r="K33" i="11" s="1"/>
  <c r="M39" i="10"/>
  <c r="K34" i="11" s="1"/>
  <c r="M40" i="10"/>
  <c r="K35" i="11" s="1"/>
  <c r="M21" i="10"/>
  <c r="K16" i="11" s="1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21" i="10"/>
  <c r="O40" i="10" l="1"/>
  <c r="H35" i="11"/>
  <c r="O38" i="10"/>
  <c r="H33" i="11"/>
  <c r="O36" i="10"/>
  <c r="H31" i="11"/>
  <c r="O34" i="10"/>
  <c r="H29" i="11"/>
  <c r="O32" i="10"/>
  <c r="H27" i="11"/>
  <c r="O30" i="10"/>
  <c r="H25" i="11"/>
  <c r="O28" i="10"/>
  <c r="H23" i="11"/>
  <c r="O26" i="10"/>
  <c r="H21" i="11"/>
  <c r="O39" i="10"/>
  <c r="H34" i="11"/>
  <c r="O37" i="10"/>
  <c r="H32" i="11"/>
  <c r="O35" i="10"/>
  <c r="H30" i="11"/>
  <c r="O33" i="10"/>
  <c r="H28" i="11"/>
  <c r="O31" i="10"/>
  <c r="H26" i="11"/>
  <c r="O29" i="10"/>
  <c r="H24" i="11"/>
  <c r="O27" i="10"/>
  <c r="H22" i="11"/>
  <c r="O25" i="10"/>
  <c r="H20" i="11"/>
  <c r="O24" i="10"/>
  <c r="H19" i="11"/>
  <c r="P19" i="11"/>
  <c r="M19" i="11" s="1"/>
  <c r="O23" i="10"/>
  <c r="H18" i="11"/>
  <c r="P18" i="11"/>
  <c r="O22" i="10"/>
  <c r="H17" i="11"/>
  <c r="P17" i="11"/>
  <c r="M17" i="11" s="1"/>
  <c r="O21" i="10"/>
  <c r="P16" i="11" s="1"/>
  <c r="H16" i="11"/>
  <c r="M16" i="11"/>
  <c r="P20" i="11" l="1"/>
  <c r="M20" i="11"/>
  <c r="P22" i="11"/>
  <c r="M22" i="11"/>
  <c r="P24" i="11"/>
  <c r="M24" i="11"/>
  <c r="P26" i="11"/>
  <c r="M26" i="11" s="1"/>
  <c r="P28" i="11"/>
  <c r="M28" i="11"/>
  <c r="P30" i="11"/>
  <c r="M30" i="11"/>
  <c r="P32" i="11"/>
  <c r="M32" i="11"/>
  <c r="P34" i="11"/>
  <c r="M34" i="11"/>
  <c r="P21" i="11"/>
  <c r="M21" i="11"/>
  <c r="P23" i="11"/>
  <c r="M23" i="11"/>
  <c r="P25" i="11"/>
  <c r="P36" i="11" s="1"/>
  <c r="M25" i="11"/>
  <c r="P27" i="11"/>
  <c r="M27" i="11" s="1"/>
  <c r="P29" i="11"/>
  <c r="M29" i="11"/>
  <c r="P31" i="11"/>
  <c r="M31" i="11"/>
  <c r="P33" i="11"/>
  <c r="M33" i="11"/>
  <c r="P35" i="11"/>
  <c r="M35" i="11"/>
  <c r="M18" i="11"/>
  <c r="I17" i="10"/>
  <c r="M36" i="11" l="1"/>
  <c r="F12" i="11"/>
  <c r="N12" i="11"/>
</calcChain>
</file>

<file path=xl/sharedStrings.xml><?xml version="1.0" encoding="utf-8"?>
<sst xmlns="http://schemas.openxmlformats.org/spreadsheetml/2006/main" count="478" uniqueCount="345">
  <si>
    <t>장선희</t>
  </si>
  <si>
    <t>조자룡</t>
  </si>
  <si>
    <t>단가</t>
  </si>
  <si>
    <t>태양 100% 오렌지 주스</t>
  </si>
  <si>
    <t>유제품</t>
  </si>
  <si>
    <t>10 boxes x 20 bags</t>
  </si>
  <si>
    <t>태양 100% 레몬 주스</t>
  </si>
  <si>
    <t>음료</t>
  </si>
  <si>
    <t>24 - 12 oz bottles</t>
  </si>
  <si>
    <t>태양 체리 시럽</t>
  </si>
  <si>
    <t>조미료</t>
  </si>
  <si>
    <t>12 - 550 ml bottles</t>
  </si>
  <si>
    <t>신한 100% 복숭아 시럽</t>
  </si>
  <si>
    <t>48 - 6 oz jars</t>
  </si>
  <si>
    <t>신한 100% 파인애플 시럽</t>
  </si>
  <si>
    <t>36 boxes</t>
  </si>
  <si>
    <t>대양 특선 블루베리 잼</t>
  </si>
  <si>
    <t>12 - 8 oz jars</t>
  </si>
  <si>
    <t>대양 특선 건과(배)</t>
  </si>
  <si>
    <t>12 - 1 lb pkgs.</t>
  </si>
  <si>
    <t>대양 특선 딸기 소스</t>
  </si>
  <si>
    <t>12 - 12 oz jars</t>
  </si>
  <si>
    <t>북미산 상등육 쇠고기</t>
  </si>
  <si>
    <t>육류</t>
  </si>
  <si>
    <t>18 - 500 g pkgs.</t>
  </si>
  <si>
    <t>노르웨이산 연어알 조림</t>
  </si>
  <si>
    <t>해산물</t>
  </si>
  <si>
    <t>12 - 200 ml jars</t>
  </si>
  <si>
    <t>현진 커피 밀크</t>
  </si>
  <si>
    <t>1 kg pkg.</t>
  </si>
  <si>
    <t>현진 바닐라 엣센스</t>
  </si>
  <si>
    <t>10 - 500 g pkgs.</t>
  </si>
  <si>
    <t>유미 돌김</t>
  </si>
  <si>
    <t>2 kg box</t>
  </si>
  <si>
    <t>유미 건조 다시마</t>
  </si>
  <si>
    <t>40 - 100 g pkgs.</t>
  </si>
  <si>
    <t>유미 간장</t>
  </si>
  <si>
    <t>24 - 250 ml bottles</t>
  </si>
  <si>
    <t>파블로바 피넛 스프레드</t>
  </si>
  <si>
    <t>과자류</t>
  </si>
  <si>
    <t>32 - 500 g boxes</t>
  </si>
  <si>
    <t>앨리스 포장육</t>
  </si>
  <si>
    <t>20 - 1 kg tins</t>
  </si>
  <si>
    <t>대륙 냉동 참치</t>
  </si>
  <si>
    <t>16 kg pkg.</t>
  </si>
  <si>
    <t>신한 초콜릿 소스</t>
  </si>
  <si>
    <t>10 boxes x 12 pieces</t>
  </si>
  <si>
    <t>대양 마말레이드</t>
  </si>
  <si>
    <t>30 gift boxes</t>
  </si>
  <si>
    <t>대양 핫 케이크 소스</t>
  </si>
  <si>
    <t>24 pkgs. x 4 pieces</t>
  </si>
  <si>
    <t>신성 시리얼</t>
  </si>
  <si>
    <t>곡류</t>
  </si>
  <si>
    <t>24 - 500 g pkgs.</t>
  </si>
  <si>
    <t>신성 쌀 튀김 과자</t>
  </si>
  <si>
    <t>12 - 250 g pkgs.</t>
  </si>
  <si>
    <t>삼화 콜라</t>
  </si>
  <si>
    <t>12 - 355 ml cans</t>
  </si>
  <si>
    <t>우미 특선 레몬 파이</t>
  </si>
  <si>
    <t>20 - 450 g glasses</t>
  </si>
  <si>
    <t>우미 코코넛 쿠키</t>
  </si>
  <si>
    <t>100 - 250 g bags</t>
  </si>
  <si>
    <t>우미 피넛 샌드</t>
  </si>
  <si>
    <t>100 - 100 g pieces</t>
  </si>
  <si>
    <t>알파 특선 튀김 다시마</t>
  </si>
  <si>
    <t>25 - 825 g cans</t>
  </si>
  <si>
    <t>알파 왕갈비 훈제육</t>
  </si>
  <si>
    <t>50 bags x 30 sausgs.</t>
  </si>
  <si>
    <t>태평양 포장 파래</t>
  </si>
  <si>
    <t>10 - 200 g glasses</t>
  </si>
  <si>
    <t>대관령 바닐라 아이스크림</t>
  </si>
  <si>
    <t>12 - 100 g pkgs</t>
  </si>
  <si>
    <t>대관령 초콜릿 아이스크림</t>
  </si>
  <si>
    <t>24 - 200 g pkgs.</t>
  </si>
  <si>
    <t>한라 멜론 아이스크림</t>
  </si>
  <si>
    <t>500 g</t>
  </si>
  <si>
    <t>태일 라이트 맥주</t>
  </si>
  <si>
    <t>태일 적포도주</t>
  </si>
  <si>
    <t>특제 굴 통조림</t>
  </si>
  <si>
    <t>24 - 250 g  jars</t>
  </si>
  <si>
    <t>포장 건 오징어</t>
  </si>
  <si>
    <t>12 - 500 g pkgs.</t>
  </si>
  <si>
    <t>OK 체리 셰이크</t>
  </si>
  <si>
    <t>12 - 75 cl bottles</t>
  </si>
  <si>
    <t>OK 바닐라 셰이크</t>
  </si>
  <si>
    <t>750 cc per bottle</t>
  </si>
  <si>
    <t>보스톤산 게살 통조림</t>
  </si>
  <si>
    <t>24 - 4 oz tins</t>
  </si>
  <si>
    <t>훈제 대합조개 통조림</t>
  </si>
  <si>
    <t>12 - 12 oz cans</t>
  </si>
  <si>
    <t>싱가폴 원산 옥수수</t>
  </si>
  <si>
    <t>32 - 1 kg pkgs.</t>
  </si>
  <si>
    <t>콜롬비아산 원두커피</t>
  </si>
  <si>
    <t>16 - 500 g tins</t>
  </si>
  <si>
    <t>델타 청정 생강즙</t>
  </si>
  <si>
    <t>20 - 2 kg bags</t>
  </si>
  <si>
    <t>버뮤다 포장 문어</t>
  </si>
  <si>
    <t>1k pkg.</t>
  </si>
  <si>
    <t>버뮤다 포장 참치</t>
  </si>
  <si>
    <t>4 - 450 g glasses</t>
  </si>
  <si>
    <t>진미 바닐라 쿠키</t>
  </si>
  <si>
    <t>10 - 4 oz boxes</t>
  </si>
  <si>
    <t>진미 트로피컬 캔디</t>
  </si>
  <si>
    <t>10 pkgs.</t>
  </si>
  <si>
    <t>미왕 계피 캔디</t>
  </si>
  <si>
    <t>24 - 50 g pkgs.</t>
  </si>
  <si>
    <t>미왕 코코아 샌드</t>
  </si>
  <si>
    <t>12 - 100 g bars</t>
  </si>
  <si>
    <t>유림 사과 통조림</t>
  </si>
  <si>
    <t>50 - 300 g pkgs.</t>
  </si>
  <si>
    <t>필로 믹스</t>
  </si>
  <si>
    <t>16 - 2 kg boxes</t>
  </si>
  <si>
    <t>파스 페이스 티</t>
  </si>
  <si>
    <t>48 pieces</t>
  </si>
  <si>
    <t>한림 훈제 통닭</t>
  </si>
  <si>
    <t>16 pies</t>
  </si>
  <si>
    <t>한림 특선 양념 칠면조</t>
  </si>
  <si>
    <t>24 boxes x 2 pies</t>
  </si>
  <si>
    <t>한성 옥수수 가루</t>
  </si>
  <si>
    <t>24 - 250 g pkgs.</t>
  </si>
  <si>
    <t>한성 통밀가루</t>
  </si>
  <si>
    <t>대성 어묵</t>
  </si>
  <si>
    <t>24 pieces</t>
  </si>
  <si>
    <t>대일 포장 치즈</t>
  </si>
  <si>
    <t>5 kg pkg.</t>
  </si>
  <si>
    <t>대일 파메쌍 치즈</t>
  </si>
  <si>
    <t>15 - 300 g rounds</t>
  </si>
  <si>
    <t>사계절 핫 소스</t>
  </si>
  <si>
    <t>24 - 500 ml bottles</t>
  </si>
  <si>
    <t>사계절 커스터드 파이</t>
  </si>
  <si>
    <t>48 pies</t>
  </si>
  <si>
    <t>대륙 사과 식초</t>
  </si>
  <si>
    <t>15 - 625 g jars</t>
  </si>
  <si>
    <t>알파 콘 플레이크</t>
  </si>
  <si>
    <t>20 bags x 4 pieces</t>
  </si>
  <si>
    <t>루이지애나 특산 후추</t>
  </si>
  <si>
    <t>32 - 8 oz bottles</t>
  </si>
  <si>
    <t>유미 멸치 가루</t>
  </si>
  <si>
    <t>24 - 8 oz jars</t>
  </si>
  <si>
    <t>태일 브랜디</t>
  </si>
  <si>
    <t>미미 스카치 캔디</t>
  </si>
  <si>
    <t>10 boxes x 8 pieces</t>
  </si>
  <si>
    <t>한라 분유</t>
  </si>
  <si>
    <t>10 kg pkg.</t>
  </si>
  <si>
    <t>트로피컬 칵테일</t>
  </si>
  <si>
    <t>24 - 355 ml bottles</t>
  </si>
  <si>
    <t>한라 연유</t>
  </si>
  <si>
    <t>대관령 특제 버터</t>
  </si>
  <si>
    <t>원양 순 상어알</t>
  </si>
  <si>
    <t>24 - 150 g jars</t>
  </si>
  <si>
    <t>서울 구이 김</t>
  </si>
  <si>
    <t>알파인 맥주</t>
  </si>
  <si>
    <t>24 - 0.5 l bottles</t>
  </si>
  <si>
    <t>미왕 초콜릿 드링크</t>
  </si>
  <si>
    <t>500 ml</t>
  </si>
  <si>
    <t>알파 샐러드 드레싱</t>
  </si>
  <si>
    <t>12 boxes</t>
  </si>
  <si>
    <t>제품번호</t>
    <phoneticPr fontId="2" type="noConversion"/>
  </si>
  <si>
    <t>제품명</t>
    <phoneticPr fontId="2" type="noConversion"/>
  </si>
  <si>
    <t>분류</t>
    <phoneticPr fontId="2" type="noConversion"/>
  </si>
  <si>
    <t>포장단위</t>
    <phoneticPr fontId="2" type="noConversion"/>
  </si>
  <si>
    <t>신영상사 ㈜</t>
  </si>
  <si>
    <t>한석규</t>
  </si>
  <si>
    <t>(051)575-5876</t>
  </si>
  <si>
    <t>원창 ㈜</t>
  </si>
  <si>
    <t>황영순</t>
  </si>
  <si>
    <t>(02)681-6869</t>
  </si>
  <si>
    <t>동광 통상 ㈜</t>
  </si>
  <si>
    <t>(02)989-9489</t>
  </si>
  <si>
    <t>경성 트레이딩 ㈜</t>
  </si>
  <si>
    <t>구재석</t>
  </si>
  <si>
    <t>정금 상사 ㈜</t>
  </si>
  <si>
    <t>최영희</t>
  </si>
  <si>
    <t>협우 상사 ㈜</t>
  </si>
  <si>
    <t>손미선</t>
  </si>
  <si>
    <t>(02)211-1834</t>
  </si>
  <si>
    <t>베네디스 유통 ㈜</t>
  </si>
  <si>
    <t>삼화 상사 ㈜</t>
  </si>
  <si>
    <t>정영일</t>
  </si>
  <si>
    <t>서주 무역 ㈜</t>
  </si>
  <si>
    <t>문익한</t>
  </si>
  <si>
    <t>(02)497-4596</t>
  </si>
  <si>
    <t>태강 교역 ㈜</t>
  </si>
  <si>
    <t>문흥미</t>
  </si>
  <si>
    <t>월드 링크 ㈜</t>
  </si>
  <si>
    <t>이강주</t>
  </si>
  <si>
    <t>(051)342-3303</t>
  </si>
  <si>
    <t>혜성 백화점 ㈜</t>
  </si>
  <si>
    <t>박광준</t>
  </si>
  <si>
    <t>진주 백화점 ㈜</t>
  </si>
  <si>
    <t>홍성주</t>
  </si>
  <si>
    <t>동남 상사 ㈜</t>
  </si>
  <si>
    <t>강태준</t>
  </si>
  <si>
    <t>대진 상사 ㈜</t>
  </si>
  <si>
    <t>천용만</t>
  </si>
  <si>
    <t>(02)878-9274</t>
  </si>
  <si>
    <t>ITM ㈜</t>
  </si>
  <si>
    <t>남궁익선</t>
  </si>
  <si>
    <t>(02)489-9164</t>
  </si>
  <si>
    <t>극동 무역 ㈜</t>
  </si>
  <si>
    <t>강민수</t>
  </si>
  <si>
    <t>(02)978-1914</t>
  </si>
  <si>
    <t>양정 물산 ㈜</t>
  </si>
  <si>
    <t>주진국</t>
  </si>
  <si>
    <t>성신 교역 ㈜</t>
  </si>
  <si>
    <t>성병재</t>
  </si>
  <si>
    <t>(041)487-4971</t>
  </si>
  <si>
    <t>신세계 통상 ㈜</t>
  </si>
  <si>
    <t>강세라</t>
  </si>
  <si>
    <t>회사명</t>
    <phoneticPr fontId="2" type="noConversion"/>
  </si>
  <si>
    <t>담당자</t>
    <phoneticPr fontId="2" type="noConversion"/>
  </si>
  <si>
    <t>직위</t>
    <phoneticPr fontId="2" type="noConversion"/>
  </si>
  <si>
    <t>팩스번호</t>
    <phoneticPr fontId="2" type="noConversion"/>
  </si>
  <si>
    <t>(051)344-1925</t>
    <phoneticPr fontId="2" type="noConversion"/>
  </si>
  <si>
    <t>(051)345-9473</t>
    <phoneticPr fontId="2" type="noConversion"/>
  </si>
  <si>
    <t>(02)443-4481</t>
    <phoneticPr fontId="2" type="noConversion"/>
  </si>
  <si>
    <t>(031)544-3467</t>
    <phoneticPr fontId="2" type="noConversion"/>
  </si>
  <si>
    <t>(031)276-4768</t>
    <phoneticPr fontId="2" type="noConversion"/>
  </si>
  <si>
    <t>(041)492-3878</t>
    <phoneticPr fontId="2" type="noConversion"/>
  </si>
  <si>
    <t>이메일</t>
    <phoneticPr fontId="2" type="noConversion"/>
  </si>
  <si>
    <t>(031)721-9584</t>
    <phoneticPr fontId="2" type="noConversion"/>
  </si>
  <si>
    <t>hsk@shinyoung.com</t>
    <phoneticPr fontId="2" type="noConversion"/>
  </si>
  <si>
    <t>hys@hanmail.net</t>
    <phoneticPr fontId="2" type="noConversion"/>
  </si>
  <si>
    <t>yong@korea.com</t>
    <phoneticPr fontId="2" type="noConversion"/>
  </si>
  <si>
    <t>koo77@kyungsung.com</t>
    <phoneticPr fontId="2" type="noConversion"/>
  </si>
  <si>
    <t>hee1985@dreamwiz.co.kr</t>
    <phoneticPr fontId="2" type="noConversion"/>
  </si>
  <si>
    <t>misun@empas.com</t>
    <phoneticPr fontId="2" type="noConversion"/>
  </si>
  <si>
    <t>jangsunhee@msn.com</t>
    <phoneticPr fontId="2" type="noConversion"/>
  </si>
  <si>
    <t>jung@samhwa.co.kr</t>
    <phoneticPr fontId="2" type="noConversion"/>
  </si>
  <si>
    <t>moon68@hanmail.net</t>
    <phoneticPr fontId="2" type="noConversion"/>
  </si>
  <si>
    <t>mhm@kang.com</t>
    <phoneticPr fontId="2" type="noConversion"/>
  </si>
  <si>
    <t>leekang@worldlink.com</t>
    <phoneticPr fontId="2" type="noConversion"/>
  </si>
  <si>
    <t>jun77@star.com</t>
    <phoneticPr fontId="2" type="noConversion"/>
  </si>
  <si>
    <t>hsj@pearl.com</t>
    <phoneticPr fontId="2" type="noConversion"/>
  </si>
  <si>
    <t>cheon6@taejin.com</t>
    <phoneticPr fontId="2" type="noConversion"/>
  </si>
  <si>
    <t>namsun@itm.co.kr</t>
    <phoneticPr fontId="2" type="noConversion"/>
  </si>
  <si>
    <t>kangminsu@east.co.kr</t>
    <phoneticPr fontId="2" type="noConversion"/>
  </si>
  <si>
    <t>kuk@yangjung.co.kr</t>
    <phoneticPr fontId="2" type="noConversion"/>
  </si>
  <si>
    <t>west@sungshin.co.kr</t>
    <phoneticPr fontId="2" type="noConversion"/>
  </si>
  <si>
    <t>bluestar@hanmail.net</t>
    <phoneticPr fontId="2" type="noConversion"/>
  </si>
  <si>
    <t>(051)575-5776</t>
  </si>
  <si>
    <t>(02)681-6889</t>
  </si>
  <si>
    <t>(02)989-9889</t>
  </si>
  <si>
    <t>(02)211-1234</t>
  </si>
  <si>
    <t>(02)497-4896</t>
  </si>
  <si>
    <t>(051)342-3333</t>
  </si>
  <si>
    <t>(02)878-9174</t>
  </si>
  <si>
    <t>(02)489-9184</t>
  </si>
  <si>
    <t>(02)978-1984</t>
  </si>
  <si>
    <t>연락처</t>
    <phoneticPr fontId="2" type="noConversion"/>
  </si>
  <si>
    <t>(051)324-1945</t>
    <phoneticPr fontId="2" type="noConversion"/>
  </si>
  <si>
    <t>(051)345-9483</t>
    <phoneticPr fontId="2" type="noConversion"/>
  </si>
  <si>
    <t>(031)321-9284</t>
    <phoneticPr fontId="2" type="noConversion"/>
  </si>
  <si>
    <t>(031)376-4568</t>
    <phoneticPr fontId="2" type="noConversion"/>
  </si>
  <si>
    <t>(041)392-3778</t>
    <phoneticPr fontId="2" type="noConversion"/>
  </si>
  <si>
    <t>(041)487-4972</t>
    <phoneticPr fontId="2" type="noConversion"/>
  </si>
  <si>
    <t>대표이사</t>
    <phoneticPr fontId="2" type="noConversion"/>
  </si>
  <si>
    <t>과장</t>
    <phoneticPr fontId="2" type="noConversion"/>
  </si>
  <si>
    <t>대리</t>
    <phoneticPr fontId="2" type="noConversion"/>
  </si>
  <si>
    <t>부장</t>
    <phoneticPr fontId="2" type="noConversion"/>
  </si>
  <si>
    <t>실장</t>
    <phoneticPr fontId="2" type="noConversion"/>
  </si>
  <si>
    <t>차장</t>
    <phoneticPr fontId="2" type="noConversion"/>
  </si>
  <si>
    <t>가공식품</t>
  </si>
  <si>
    <t>부서</t>
    <phoneticPr fontId="2" type="noConversion"/>
  </si>
  <si>
    <t>영업부</t>
    <phoneticPr fontId="2" type="noConversion"/>
  </si>
  <si>
    <t>구매부</t>
    <phoneticPr fontId="2" type="noConversion"/>
  </si>
  <si>
    <t>총무부</t>
    <phoneticPr fontId="2" type="noConversion"/>
  </si>
  <si>
    <t>기획실</t>
    <phoneticPr fontId="2" type="noConversion"/>
  </si>
  <si>
    <t>구입</t>
    <phoneticPr fontId="9" type="noConversion"/>
  </si>
  <si>
    <t>(02)453-2954</t>
    <phoneticPr fontId="2" type="noConversion"/>
  </si>
  <si>
    <t>(02)453-2054</t>
    <phoneticPr fontId="2" type="noConversion"/>
  </si>
  <si>
    <t>(031)544-3687</t>
    <phoneticPr fontId="2" type="noConversion"/>
  </si>
  <si>
    <t>(02)443-4486</t>
    <phoneticPr fontId="2" type="noConversion"/>
  </si>
  <si>
    <t>kangtaejun@east.com</t>
    <phoneticPr fontId="2" type="noConversion"/>
  </si>
  <si>
    <t>(02)784-5897</t>
    <phoneticPr fontId="2" type="noConversion"/>
  </si>
  <si>
    <t>(02)784-5807</t>
    <phoneticPr fontId="2" type="noConversion"/>
  </si>
  <si>
    <t>(02)412-2971</t>
    <phoneticPr fontId="2" type="noConversion"/>
  </si>
  <si>
    <t>(02)412-2271</t>
    <phoneticPr fontId="2" type="noConversion"/>
  </si>
  <si>
    <t>공급자</t>
    <phoneticPr fontId="9" type="noConversion"/>
  </si>
  <si>
    <t>상호</t>
    <phoneticPr fontId="9" type="noConversion"/>
  </si>
  <si>
    <t>등록번호</t>
    <phoneticPr fontId="9" type="noConversion"/>
  </si>
  <si>
    <t>대표이사</t>
    <phoneticPr fontId="9" type="noConversion"/>
  </si>
  <si>
    <t>주소</t>
    <phoneticPr fontId="9" type="noConversion"/>
  </si>
  <si>
    <t>업태</t>
    <phoneticPr fontId="9" type="noConversion"/>
  </si>
  <si>
    <t>종목</t>
    <phoneticPr fontId="9" type="noConversion"/>
  </si>
  <si>
    <t>의뢰자</t>
    <phoneticPr fontId="9" type="noConversion"/>
  </si>
  <si>
    <t>부서</t>
    <phoneticPr fontId="9" type="noConversion"/>
  </si>
  <si>
    <t>담당자</t>
    <phoneticPr fontId="9" type="noConversion"/>
  </si>
  <si>
    <t>직위</t>
    <phoneticPr fontId="9" type="noConversion"/>
  </si>
  <si>
    <t>이메일</t>
    <phoneticPr fontId="9" type="noConversion"/>
  </si>
  <si>
    <t>연락처</t>
    <phoneticPr fontId="9" type="noConversion"/>
  </si>
  <si>
    <t>팩스</t>
    <phoneticPr fontId="9" type="noConversion"/>
  </si>
  <si>
    <t>건수</t>
    <phoneticPr fontId="9" type="noConversion"/>
  </si>
  <si>
    <t>총액</t>
    <phoneticPr fontId="9" type="noConversion"/>
  </si>
  <si>
    <t>견적 내역</t>
    <phoneticPr fontId="9" type="noConversion"/>
  </si>
  <si>
    <t>분류</t>
    <phoneticPr fontId="9" type="noConversion"/>
  </si>
  <si>
    <t>품명</t>
    <phoneticPr fontId="9" type="noConversion"/>
  </si>
  <si>
    <t>수량</t>
    <phoneticPr fontId="9" type="noConversion"/>
  </si>
  <si>
    <t>단가</t>
    <phoneticPr fontId="9" type="noConversion"/>
  </si>
  <si>
    <t>할인율</t>
    <phoneticPr fontId="9" type="noConversion"/>
  </si>
  <si>
    <t>공급가</t>
    <phoneticPr fontId="9" type="noConversion"/>
  </si>
  <si>
    <t>엑셀..하루에 하나씩</t>
    <phoneticPr fontId="9" type="noConversion"/>
  </si>
  <si>
    <t>123-12-12345</t>
    <phoneticPr fontId="9" type="noConversion"/>
  </si>
  <si>
    <t>최준선</t>
    <phoneticPr fontId="9" type="noConversion"/>
  </si>
  <si>
    <t>서울 강남구 양재동</t>
    <phoneticPr fontId="9" type="noConversion"/>
  </si>
  <si>
    <t>한국마이크로소프트</t>
  </si>
  <si>
    <t>영업부</t>
  </si>
  <si>
    <t>홍길동</t>
  </si>
  <si>
    <t>과장</t>
  </si>
  <si>
    <t>(02)123-1234</t>
  </si>
  <si>
    <t>(02)123-1235</t>
  </si>
  <si>
    <t>견 적 서</t>
    <phoneticPr fontId="16" type="noConversion"/>
  </si>
  <si>
    <t>공급자</t>
    <phoneticPr fontId="16" type="noConversion"/>
  </si>
  <si>
    <t>상호</t>
    <phoneticPr fontId="16" type="noConversion"/>
  </si>
  <si>
    <t>등록번호</t>
    <phoneticPr fontId="16" type="noConversion"/>
  </si>
  <si>
    <t>이 견적은 발행일로부터 7일간 유효합니다.</t>
    <phoneticPr fontId="16" type="noConversion"/>
  </si>
  <si>
    <t>대표이사</t>
    <phoneticPr fontId="16" type="noConversion"/>
  </si>
  <si>
    <t>귀하</t>
    <phoneticPr fontId="16" type="noConversion"/>
  </si>
  <si>
    <t>주소</t>
    <phoneticPr fontId="16" type="noConversion"/>
  </si>
  <si>
    <t>의뢰한 내역에 대해 다음과 같이 견적합니다.</t>
    <phoneticPr fontId="16" type="noConversion"/>
  </si>
  <si>
    <t>업태</t>
    <phoneticPr fontId="16" type="noConversion"/>
  </si>
  <si>
    <t>종목</t>
    <phoneticPr fontId="16" type="noConversion"/>
  </si>
  <si>
    <r>
      <t xml:space="preserve">총 액 :
</t>
    </r>
    <r>
      <rPr>
        <b/>
        <sz val="9"/>
        <color theme="1" tint="0.499984740745262"/>
        <rFont val="맑은 고딕"/>
        <family val="3"/>
        <charset val="129"/>
        <scheme val="minor"/>
      </rPr>
      <t>(공급가액 + 세액)</t>
    </r>
    <phoneticPr fontId="16" type="noConversion"/>
  </si>
  <si>
    <t>번호</t>
    <phoneticPr fontId="16" type="noConversion"/>
  </si>
  <si>
    <t>품목</t>
    <phoneticPr fontId="16" type="noConversion"/>
  </si>
  <si>
    <t>단가</t>
    <phoneticPr fontId="16" type="noConversion"/>
  </si>
  <si>
    <t>수량</t>
    <phoneticPr fontId="16" type="noConversion"/>
  </si>
  <si>
    <t>할인율</t>
    <phoneticPr fontId="16" type="noConversion"/>
  </si>
  <si>
    <t>견적가</t>
    <phoneticPr fontId="16" type="noConversion"/>
  </si>
  <si>
    <t>세액</t>
    <phoneticPr fontId="16" type="noConversion"/>
  </si>
  <si>
    <t>합 계 :</t>
    <phoneticPr fontId="16" type="noConversion"/>
  </si>
  <si>
    <t>FAX</t>
    <phoneticPr fontId="16" type="noConversion"/>
  </si>
  <si>
    <t>수신</t>
    <phoneticPr fontId="16" type="noConversion"/>
  </si>
  <si>
    <t>송신</t>
    <phoneticPr fontId="16" type="noConversion"/>
  </si>
  <si>
    <t>회사명</t>
    <phoneticPr fontId="16" type="noConversion"/>
  </si>
  <si>
    <t>부서</t>
    <phoneticPr fontId="16" type="noConversion"/>
  </si>
  <si>
    <t>이름</t>
    <phoneticPr fontId="16" type="noConversion"/>
  </si>
  <si>
    <t>전화번호</t>
    <phoneticPr fontId="16" type="noConversion"/>
  </si>
  <si>
    <t>제목</t>
    <phoneticPr fontId="16" type="noConversion"/>
  </si>
  <si>
    <t>세부 내용</t>
    <phoneticPr fontId="16" type="noConversion"/>
  </si>
  <si>
    <t>요청하신 견적 내용에 대한 회신을 드립니다.
견적 내용이 다르거나, 문의하실 사항이 있으면 위 담당자에게 연락하시길 바랍니다.</t>
    <phoneticPr fontId="16" type="noConversion"/>
  </si>
  <si>
    <t>발송 시간</t>
    <phoneticPr fontId="16" type="noConversion"/>
  </si>
  <si>
    <t>영업부</t>
    <phoneticPr fontId="9" type="noConversion"/>
  </si>
  <si>
    <t>홍길동 과장</t>
    <phoneticPr fontId="9" type="noConversion"/>
  </si>
  <si>
    <t>02-343-1234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</si>
</sst>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0.0%"/>
    <numFmt numFmtId="177" formatCode=";;;@"/>
    <numFmt numFmtId="178" formatCode="yyyy&quot;년&quot;\ m&quot;월&quot;\ d&quot;일&quot;\ aaaa\ h:m:s\ am/pm"/>
    <numFmt numFmtId="179" formatCode="[DBNum4]&quot;일금 &quot;\ General&quot;원 정&quot;"/>
    <numFmt numFmtId="180" formatCode="\(&quot;₩&quot;\ #,##0\)"/>
  </numFmts>
  <fonts count="26">
    <font>
      <sz val="11"/>
      <color theme="1"/>
      <name val="맑은 고딕"/>
      <family val="2"/>
      <charset val="129"/>
      <scheme val="minor"/>
    </font>
    <font>
      <sz val="10"/>
      <name val="Web Wulnungdo nw10"/>
      <family val="1"/>
      <charset val="129"/>
    </font>
    <font>
      <sz val="8"/>
      <name val="Web Wulnungdo nw10"/>
      <family val="1"/>
      <charset val="129"/>
    </font>
    <font>
      <u/>
      <sz val="11"/>
      <color indexed="12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u/>
      <sz val="11"/>
      <color indexed="12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indexed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36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4" tint="0.3999755851924192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41" fontId="13" fillId="0" borderId="0" applyFont="0" applyFill="0" applyBorder="0" applyAlignment="0" applyProtection="0">
      <alignment vertical="center"/>
    </xf>
  </cellStyleXfs>
  <cellXfs count="181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3" applyFont="1" applyFill="1" applyBorder="1" applyAlignment="1" applyProtection="1">
      <alignment horizontal="center" vertical="center"/>
    </xf>
    <xf numFmtId="41" fontId="4" fillId="0" borderId="1" xfId="2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41" fontId="4" fillId="0" borderId="12" xfId="2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76" fontId="0" fillId="11" borderId="1" xfId="1" applyNumberFormat="1" applyFont="1" applyFill="1" applyBorder="1">
      <alignment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6" fillId="0" borderId="12" xfId="3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9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0" borderId="0" xfId="0" applyBorder="1">
      <alignment vertical="center"/>
    </xf>
    <xf numFmtId="0" fontId="0" fillId="3" borderId="1" xfId="0" applyFill="1" applyBorder="1">
      <alignment vertical="center"/>
    </xf>
    <xf numFmtId="0" fontId="7" fillId="0" borderId="9" xfId="0" applyFont="1" applyBorder="1">
      <alignment vertical="center"/>
    </xf>
    <xf numFmtId="0" fontId="14" fillId="0" borderId="2" xfId="0" applyFont="1" applyBorder="1">
      <alignment vertical="center"/>
    </xf>
    <xf numFmtId="0" fontId="14" fillId="0" borderId="3" xfId="0" applyFont="1" applyBorder="1">
      <alignment vertical="center"/>
    </xf>
    <xf numFmtId="0" fontId="14" fillId="0" borderId="4" xfId="0" applyFont="1" applyBorder="1">
      <alignment vertical="center"/>
    </xf>
    <xf numFmtId="0" fontId="14" fillId="0" borderId="0" xfId="0" applyFont="1">
      <alignment vertical="center"/>
    </xf>
    <xf numFmtId="0" fontId="14" fillId="0" borderId="5" xfId="0" applyFont="1" applyBorder="1">
      <alignment vertical="center"/>
    </xf>
    <xf numFmtId="0" fontId="14" fillId="0" borderId="9" xfId="0" applyFont="1" applyBorder="1">
      <alignment vertical="center"/>
    </xf>
    <xf numFmtId="0" fontId="5" fillId="0" borderId="16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14" fillId="0" borderId="6" xfId="0" applyFont="1" applyBorder="1">
      <alignment vertical="center"/>
    </xf>
    <xf numFmtId="0" fontId="14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26" xfId="0" applyFont="1" applyBorder="1">
      <alignment vertical="center"/>
    </xf>
    <xf numFmtId="0" fontId="14" fillId="0" borderId="27" xfId="0" applyFont="1" applyBorder="1">
      <alignment vertical="center"/>
    </xf>
    <xf numFmtId="0" fontId="14" fillId="0" borderId="28" xfId="0" applyFont="1" applyBorder="1">
      <alignment vertical="center"/>
    </xf>
    <xf numFmtId="0" fontId="14" fillId="0" borderId="29" xfId="0" applyFont="1" applyBorder="1">
      <alignment vertical="center"/>
    </xf>
    <xf numFmtId="0" fontId="14" fillId="0" borderId="30" xfId="0" applyFont="1" applyBorder="1">
      <alignment vertical="center"/>
    </xf>
    <xf numFmtId="0" fontId="14" fillId="0" borderId="0" xfId="0" applyFont="1" applyBorder="1">
      <alignment vertical="center"/>
    </xf>
    <xf numFmtId="0" fontId="24" fillId="0" borderId="29" xfId="0" applyFont="1" applyBorder="1">
      <alignment vertical="center"/>
    </xf>
    <xf numFmtId="0" fontId="24" fillId="0" borderId="30" xfId="0" applyFont="1" applyBorder="1">
      <alignment vertical="center"/>
    </xf>
    <xf numFmtId="0" fontId="24" fillId="0" borderId="0" xfId="0" applyFont="1" applyBorder="1">
      <alignment vertical="center"/>
    </xf>
    <xf numFmtId="0" fontId="24" fillId="0" borderId="5" xfId="0" applyFont="1" applyBorder="1">
      <alignment vertical="center"/>
    </xf>
    <xf numFmtId="0" fontId="24" fillId="0" borderId="9" xfId="0" applyFont="1" applyBorder="1">
      <alignment vertical="center"/>
    </xf>
    <xf numFmtId="0" fontId="24" fillId="0" borderId="0" xfId="0" applyFont="1" applyBorder="1" applyAlignment="1">
      <alignment vertical="center"/>
    </xf>
    <xf numFmtId="0" fontId="24" fillId="0" borderId="6" xfId="0" applyFont="1" applyBorder="1">
      <alignment vertical="center"/>
    </xf>
    <xf numFmtId="0" fontId="24" fillId="0" borderId="7" xfId="0" applyFont="1" applyBorder="1">
      <alignment vertical="center"/>
    </xf>
    <xf numFmtId="0" fontId="24" fillId="0" borderId="8" xfId="0" applyFont="1" applyBorder="1">
      <alignment vertical="center"/>
    </xf>
    <xf numFmtId="0" fontId="24" fillId="0" borderId="31" xfId="0" applyFont="1" applyBorder="1">
      <alignment vertical="center"/>
    </xf>
    <xf numFmtId="0" fontId="24" fillId="0" borderId="32" xfId="0" applyFont="1" applyBorder="1">
      <alignment vertical="center"/>
    </xf>
    <xf numFmtId="0" fontId="24" fillId="0" borderId="33" xfId="0" applyFont="1" applyBorder="1">
      <alignment vertical="center"/>
    </xf>
    <xf numFmtId="41" fontId="5" fillId="0" borderId="17" xfId="2" applyFont="1" applyBorder="1" applyAlignment="1">
      <alignment horizontal="center" vertical="center"/>
    </xf>
    <xf numFmtId="41" fontId="5" fillId="0" borderId="21" xfId="2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1" fontId="0" fillId="6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/>
    </xf>
    <xf numFmtId="0" fontId="25" fillId="3" borderId="7" xfId="0" applyFont="1" applyFill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4" fillId="0" borderId="0" xfId="0" applyFont="1" applyBorder="1" applyAlignment="1">
      <alignment vertical="top" wrapText="1"/>
    </xf>
    <xf numFmtId="0" fontId="24" fillId="0" borderId="0" xfId="0" applyFont="1" applyBorder="1" applyAlignment="1">
      <alignment vertical="top"/>
    </xf>
    <xf numFmtId="178" fontId="24" fillId="0" borderId="1" xfId="0" applyNumberFormat="1" applyFont="1" applyBorder="1" applyAlignment="1">
      <alignment horizontal="center" vertical="center"/>
    </xf>
    <xf numFmtId="0" fontId="24" fillId="0" borderId="1" xfId="0" applyNumberFormat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1" fillId="3" borderId="8" xfId="0" applyFont="1" applyFill="1" applyBorder="1" applyAlignment="1">
      <alignment horizontal="center" vertical="center"/>
    </xf>
    <xf numFmtId="41" fontId="5" fillId="6" borderId="2" xfId="2" applyFont="1" applyFill="1" applyBorder="1" applyAlignment="1">
      <alignment horizontal="center" vertical="center"/>
    </xf>
    <xf numFmtId="41" fontId="5" fillId="6" borderId="3" xfId="2" applyFont="1" applyFill="1" applyBorder="1" applyAlignment="1">
      <alignment horizontal="center" vertical="center"/>
    </xf>
    <xf numFmtId="41" fontId="5" fillId="6" borderId="4" xfId="2" applyFont="1" applyFill="1" applyBorder="1" applyAlignment="1">
      <alignment horizontal="center" vertical="center"/>
    </xf>
    <xf numFmtId="41" fontId="5" fillId="6" borderId="6" xfId="2" applyFont="1" applyFill="1" applyBorder="1" applyAlignment="1">
      <alignment horizontal="center" vertical="center"/>
    </xf>
    <xf numFmtId="41" fontId="5" fillId="6" borderId="7" xfId="2" applyFont="1" applyFill="1" applyBorder="1" applyAlignment="1">
      <alignment horizontal="center" vertical="center"/>
    </xf>
    <xf numFmtId="41" fontId="5" fillId="6" borderId="8" xfId="2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left" vertical="center"/>
    </xf>
    <xf numFmtId="0" fontId="22" fillId="3" borderId="3" xfId="0" applyFont="1" applyFill="1" applyBorder="1" applyAlignment="1">
      <alignment horizontal="left" vertical="center"/>
    </xf>
    <xf numFmtId="0" fontId="22" fillId="3" borderId="5" xfId="0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2" fillId="3" borderId="6" xfId="0" applyFont="1" applyFill="1" applyBorder="1" applyAlignment="1">
      <alignment horizontal="left" vertical="center"/>
    </xf>
    <xf numFmtId="0" fontId="22" fillId="3" borderId="7" xfId="0" applyFont="1" applyFill="1" applyBorder="1" applyAlignment="1">
      <alignment horizontal="left" vertical="center"/>
    </xf>
    <xf numFmtId="177" fontId="23" fillId="3" borderId="3" xfId="0" applyNumberFormat="1" applyFont="1" applyFill="1" applyBorder="1" applyAlignment="1">
      <alignment horizontal="right" vertical="center"/>
    </xf>
    <xf numFmtId="0" fontId="23" fillId="3" borderId="3" xfId="0" applyNumberFormat="1" applyFont="1" applyFill="1" applyBorder="1" applyAlignment="1">
      <alignment horizontal="right" vertical="center"/>
    </xf>
    <xf numFmtId="0" fontId="23" fillId="3" borderId="4" xfId="0" applyNumberFormat="1" applyFont="1" applyFill="1" applyBorder="1" applyAlignment="1">
      <alignment horizontal="right" vertical="center"/>
    </xf>
    <xf numFmtId="0" fontId="23" fillId="3" borderId="0" xfId="0" applyNumberFormat="1" applyFont="1" applyFill="1" applyBorder="1" applyAlignment="1">
      <alignment horizontal="right" vertical="center"/>
    </xf>
    <xf numFmtId="0" fontId="23" fillId="3" borderId="9" xfId="0" applyNumberFormat="1" applyFont="1" applyFill="1" applyBorder="1" applyAlignment="1">
      <alignment horizontal="right" vertical="center"/>
    </xf>
    <xf numFmtId="0" fontId="23" fillId="3" borderId="7" xfId="0" applyNumberFormat="1" applyFont="1" applyFill="1" applyBorder="1" applyAlignment="1">
      <alignment horizontal="right" vertical="center"/>
    </xf>
    <xf numFmtId="0" fontId="23" fillId="3" borderId="8" xfId="0" applyNumberFormat="1" applyFont="1" applyFill="1" applyBorder="1" applyAlignment="1">
      <alignment horizontal="right" vertical="center"/>
    </xf>
    <xf numFmtId="0" fontId="5" fillId="0" borderId="21" xfId="0" applyNumberFormat="1" applyFont="1" applyBorder="1" applyAlignment="1">
      <alignment horizontal="center" vertical="center"/>
    </xf>
    <xf numFmtId="41" fontId="5" fillId="0" borderId="21" xfId="2" applyFont="1" applyBorder="1" applyAlignment="1">
      <alignment horizontal="center" vertical="center"/>
    </xf>
    <xf numFmtId="176" fontId="5" fillId="0" borderId="34" xfId="1" applyNumberFormat="1" applyFont="1" applyBorder="1" applyAlignment="1">
      <alignment horizontal="center" vertical="center"/>
    </xf>
    <xf numFmtId="176" fontId="5" fillId="0" borderId="35" xfId="1" applyNumberFormat="1" applyFont="1" applyBorder="1" applyAlignment="1">
      <alignment horizontal="center" vertical="center"/>
    </xf>
    <xf numFmtId="41" fontId="5" fillId="0" borderId="22" xfId="2" applyFont="1" applyBorder="1" applyAlignment="1">
      <alignment horizontal="center" vertical="center"/>
    </xf>
    <xf numFmtId="176" fontId="5" fillId="0" borderId="36" xfId="1" applyNumberFormat="1" applyFont="1" applyBorder="1" applyAlignment="1">
      <alignment horizontal="center" vertical="center"/>
    </xf>
    <xf numFmtId="176" fontId="5" fillId="0" borderId="37" xfId="1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17" xfId="2" applyFont="1" applyBorder="1" applyAlignment="1">
      <alignment horizontal="center" vertical="center"/>
    </xf>
    <xf numFmtId="176" fontId="5" fillId="0" borderId="17" xfId="1" applyNumberFormat="1" applyFont="1" applyBorder="1" applyAlignment="1">
      <alignment horizontal="center" vertical="center"/>
    </xf>
    <xf numFmtId="41" fontId="5" fillId="0" borderId="18" xfId="2" applyFont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79" fontId="5" fillId="6" borderId="2" xfId="0" applyNumberFormat="1" applyFont="1" applyFill="1" applyBorder="1" applyAlignment="1">
      <alignment horizontal="right" vertical="center"/>
    </xf>
    <xf numFmtId="179" fontId="5" fillId="6" borderId="3" xfId="0" applyNumberFormat="1" applyFont="1" applyFill="1" applyBorder="1" applyAlignment="1">
      <alignment horizontal="right" vertical="center"/>
    </xf>
    <xf numFmtId="179" fontId="5" fillId="6" borderId="6" xfId="0" applyNumberFormat="1" applyFont="1" applyFill="1" applyBorder="1" applyAlignment="1">
      <alignment horizontal="right" vertical="center"/>
    </xf>
    <xf numFmtId="179" fontId="5" fillId="6" borderId="7" xfId="0" applyNumberFormat="1" applyFont="1" applyFill="1" applyBorder="1" applyAlignment="1">
      <alignment horizontal="right" vertical="center"/>
    </xf>
    <xf numFmtId="180" fontId="5" fillId="6" borderId="3" xfId="0" applyNumberFormat="1" applyFont="1" applyFill="1" applyBorder="1" applyAlignment="1">
      <alignment horizontal="left" vertical="center"/>
    </xf>
    <xf numFmtId="180" fontId="5" fillId="6" borderId="4" xfId="0" applyNumberFormat="1" applyFont="1" applyFill="1" applyBorder="1" applyAlignment="1">
      <alignment horizontal="left" vertical="center"/>
    </xf>
    <xf numFmtId="180" fontId="5" fillId="6" borderId="7" xfId="0" applyNumberFormat="1" applyFont="1" applyFill="1" applyBorder="1" applyAlignment="1">
      <alignment horizontal="left" vertical="center"/>
    </xf>
    <xf numFmtId="180" fontId="5" fillId="6" borderId="8" xfId="0" applyNumberFormat="1" applyFont="1" applyFill="1" applyBorder="1" applyAlignment="1">
      <alignment horizontal="left" vertical="center"/>
    </xf>
    <xf numFmtId="0" fontId="20" fillId="3" borderId="12" xfId="0" applyFont="1" applyFill="1" applyBorder="1" applyAlignment="1">
      <alignment horizontal="center" vertical="center"/>
    </xf>
    <xf numFmtId="0" fontId="20" fillId="3" borderId="13" xfId="0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textRotation="255"/>
    </xf>
    <xf numFmtId="0" fontId="14" fillId="12" borderId="19" xfId="0" applyFont="1" applyFill="1" applyBorder="1" applyAlignment="1">
      <alignment horizontal="center" vertical="center" textRotation="255"/>
    </xf>
    <xf numFmtId="0" fontId="14" fillId="12" borderId="13" xfId="0" applyFont="1" applyFill="1" applyBorder="1" applyAlignment="1">
      <alignment horizontal="center" vertical="center" textRotation="255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14" fillId="0" borderId="17" xfId="0" applyNumberFormat="1" applyFont="1" applyBorder="1" applyAlignment="1">
      <alignment horizontal="center" vertical="center"/>
    </xf>
    <xf numFmtId="0" fontId="14" fillId="0" borderId="18" xfId="0" applyNumberFormat="1" applyFont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14" fillId="0" borderId="21" xfId="0" applyNumberFormat="1" applyFont="1" applyBorder="1" applyAlignment="1">
      <alignment horizontal="center" vertical="center"/>
    </xf>
    <xf numFmtId="0" fontId="14" fillId="0" borderId="22" xfId="0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14" fillId="0" borderId="24" xfId="0" applyNumberFormat="1" applyFont="1" applyBorder="1" applyAlignment="1">
      <alignment horizontal="center" vertical="center"/>
    </xf>
    <xf numFmtId="0" fontId="14" fillId="0" borderId="25" xfId="0" applyNumberFormat="1" applyFont="1" applyBorder="1" applyAlignment="1">
      <alignment horizontal="center" vertical="center"/>
    </xf>
  </cellXfs>
  <cellStyles count="5">
    <cellStyle name="백분율" xfId="1" builtinId="5"/>
    <cellStyle name="쉼표 [0]" xfId="2" builtinId="6"/>
    <cellStyle name="쉼표 [0] 2" xfId="4"/>
    <cellStyle name="표준" xfId="0" builtinId="0" customBuiltin="1"/>
    <cellStyle name="하이퍼링크" xfId="3" builtinId="8"/>
  </cellStyles>
  <dxfs count="23"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solid">
          <fgColor indexed="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8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solid">
          <fgColor indexed="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R$17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6</xdr:row>
          <xdr:rowOff>219075</xdr:rowOff>
        </xdr:from>
        <xdr:to>
          <xdr:col>16</xdr:col>
          <xdr:colOff>323850</xdr:colOff>
          <xdr:row>7</xdr:row>
          <xdr:rowOff>180975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8</xdr:row>
          <xdr:rowOff>66675</xdr:rowOff>
        </xdr:from>
        <xdr:to>
          <xdr:col>16</xdr:col>
          <xdr:colOff>333375</xdr:colOff>
          <xdr:row>9</xdr:row>
          <xdr:rowOff>28575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신규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11</xdr:row>
          <xdr:rowOff>9525</xdr:rowOff>
        </xdr:from>
        <xdr:to>
          <xdr:col>16</xdr:col>
          <xdr:colOff>247650</xdr:colOff>
          <xdr:row>12</xdr:row>
          <xdr:rowOff>28575</xdr:rowOff>
        </xdr:to>
        <xdr:sp macro="" textlink="">
          <xdr:nvSpPr>
            <xdr:cNvPr id="5123" name="등록버튼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17</xdr:col>
          <xdr:colOff>0</xdr:colOff>
          <xdr:row>16</xdr:row>
          <xdr:rowOff>228600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부가세 별도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견적서 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인쇄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제품" displayName="제품" ref="A1:E78" totalsRowShown="0" headerRowDxfId="22" dataDxfId="21" tableBorderDxfId="20">
  <autoFilter ref="A1:E78"/>
  <tableColumns count="5">
    <tableColumn id="1" name="제품번호" dataDxfId="19"/>
    <tableColumn id="2" name="제품명" dataDxfId="18"/>
    <tableColumn id="3" name="분류" dataDxfId="17"/>
    <tableColumn id="4" name="포장단위" dataDxfId="16"/>
    <tableColumn id="5" name="단가" dataDxfId="15" dataCellStyle="쉼표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고객" displayName="고객" ref="A1:G22" totalsRowShown="0" headerRowDxfId="14" dataDxfId="12" headerRowBorderDxfId="13" tableBorderDxfId="11" totalsRowBorderDxfId="10">
  <autoFilter ref="A1:G22"/>
  <tableColumns count="7">
    <tableColumn id="1" name="회사명" dataDxfId="9"/>
    <tableColumn id="2" name="부서" dataDxfId="8"/>
    <tableColumn id="3" name="담당자" dataDxfId="7"/>
    <tableColumn id="4" name="직위" dataDxfId="6"/>
    <tableColumn id="5" name="이메일" dataDxfId="5" dataCellStyle="하이퍼링크"/>
    <tableColumn id="6" name="연락처" dataDxfId="4"/>
    <tableColumn id="7" name="팩스번호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jung@samhwa.co.kr" TargetMode="External"/><Relationship Id="rId13" Type="http://schemas.openxmlformats.org/officeDocument/2006/relationships/hyperlink" Target="mailto:hsj@pearl.com" TargetMode="External"/><Relationship Id="rId18" Type="http://schemas.openxmlformats.org/officeDocument/2006/relationships/hyperlink" Target="mailto:west@sungshin.co.kr" TargetMode="External"/><Relationship Id="rId3" Type="http://schemas.openxmlformats.org/officeDocument/2006/relationships/hyperlink" Target="mailto:yong@korea.com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mailto:jangsunhee@msn.com" TargetMode="External"/><Relationship Id="rId12" Type="http://schemas.openxmlformats.org/officeDocument/2006/relationships/hyperlink" Target="mailto:jun77@star.com" TargetMode="External"/><Relationship Id="rId17" Type="http://schemas.openxmlformats.org/officeDocument/2006/relationships/hyperlink" Target="mailto:kuk@yangjung.co.kr" TargetMode="External"/><Relationship Id="rId2" Type="http://schemas.openxmlformats.org/officeDocument/2006/relationships/hyperlink" Target="mailto:hys@hanmail.net" TargetMode="External"/><Relationship Id="rId16" Type="http://schemas.openxmlformats.org/officeDocument/2006/relationships/hyperlink" Target="mailto:kangminsu@east.co.kr" TargetMode="External"/><Relationship Id="rId20" Type="http://schemas.openxmlformats.org/officeDocument/2006/relationships/hyperlink" Target="mailto:kangtaejun@east.com" TargetMode="External"/><Relationship Id="rId1" Type="http://schemas.openxmlformats.org/officeDocument/2006/relationships/hyperlink" Target="mailto:hsk@shinyoung.com" TargetMode="External"/><Relationship Id="rId6" Type="http://schemas.openxmlformats.org/officeDocument/2006/relationships/hyperlink" Target="mailto:misun@empas.com" TargetMode="External"/><Relationship Id="rId11" Type="http://schemas.openxmlformats.org/officeDocument/2006/relationships/hyperlink" Target="mailto:leekang@worldlink.com" TargetMode="External"/><Relationship Id="rId5" Type="http://schemas.openxmlformats.org/officeDocument/2006/relationships/hyperlink" Target="mailto:hee1985@dreamwiz.co.kr" TargetMode="External"/><Relationship Id="rId15" Type="http://schemas.openxmlformats.org/officeDocument/2006/relationships/hyperlink" Target="mailto:namsun@itm.co.kr" TargetMode="External"/><Relationship Id="rId10" Type="http://schemas.openxmlformats.org/officeDocument/2006/relationships/hyperlink" Target="mailto:mhm@kang.com" TargetMode="External"/><Relationship Id="rId19" Type="http://schemas.openxmlformats.org/officeDocument/2006/relationships/hyperlink" Target="mailto:bluestar@hanmail.net" TargetMode="External"/><Relationship Id="rId4" Type="http://schemas.openxmlformats.org/officeDocument/2006/relationships/hyperlink" Target="mailto:koo77@kyungsung.com" TargetMode="External"/><Relationship Id="rId9" Type="http://schemas.openxmlformats.org/officeDocument/2006/relationships/hyperlink" Target="mailto:moon68@hanmail.net" TargetMode="External"/><Relationship Id="rId14" Type="http://schemas.openxmlformats.org/officeDocument/2006/relationships/hyperlink" Target="mailto:cheon6@taejin.com" TargetMode="External"/><Relationship Id="rId2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8"/>
  <sheetViews>
    <sheetView workbookViewId="0">
      <selection activeCell="A2" sqref="A2"/>
    </sheetView>
  </sheetViews>
  <sheetFormatPr defaultRowHeight="19.5" customHeight="1"/>
  <cols>
    <col min="1" max="1" width="13.25" style="1" bestFit="1" customWidth="1"/>
    <col min="2" max="2" width="24.875" style="1" bestFit="1" customWidth="1"/>
    <col min="3" max="3" width="9.5" style="1" bestFit="1" customWidth="1"/>
    <col min="4" max="4" width="20.25" style="1" bestFit="1" customWidth="1"/>
    <col min="5" max="5" width="9.5" style="1" bestFit="1" customWidth="1"/>
    <col min="6" max="16384" width="9" style="1"/>
  </cols>
  <sheetData>
    <row r="1" spans="1:5" ht="19.5" customHeight="1">
      <c r="A1" s="7" t="s">
        <v>157</v>
      </c>
      <c r="B1" s="7" t="s">
        <v>158</v>
      </c>
      <c r="C1" s="7" t="s">
        <v>159</v>
      </c>
      <c r="D1" s="7" t="s">
        <v>160</v>
      </c>
      <c r="E1" s="7" t="s">
        <v>2</v>
      </c>
    </row>
    <row r="2" spans="1:5" ht="19.5" customHeight="1">
      <c r="A2" s="2">
        <v>1</v>
      </c>
      <c r="B2" s="2" t="s">
        <v>3</v>
      </c>
      <c r="C2" s="2" t="s">
        <v>4</v>
      </c>
      <c r="D2" s="2" t="s">
        <v>5</v>
      </c>
      <c r="E2" s="5">
        <v>80000</v>
      </c>
    </row>
    <row r="3" spans="1:5" ht="19.5" customHeight="1">
      <c r="A3" s="2">
        <v>2</v>
      </c>
      <c r="B3" s="2" t="s">
        <v>6</v>
      </c>
      <c r="C3" s="2" t="s">
        <v>7</v>
      </c>
      <c r="D3" s="2" t="s">
        <v>8</v>
      </c>
      <c r="E3" s="5">
        <v>19000</v>
      </c>
    </row>
    <row r="4" spans="1:5" ht="19.5" customHeight="1">
      <c r="A4" s="2">
        <v>3</v>
      </c>
      <c r="B4" s="2" t="s">
        <v>9</v>
      </c>
      <c r="C4" s="2" t="s">
        <v>10</v>
      </c>
      <c r="D4" s="2" t="s">
        <v>11</v>
      </c>
      <c r="E4" s="5">
        <v>10000</v>
      </c>
    </row>
    <row r="5" spans="1:5" ht="19.5" customHeight="1">
      <c r="A5" s="2">
        <v>4</v>
      </c>
      <c r="B5" s="2" t="s">
        <v>12</v>
      </c>
      <c r="C5" s="2" t="s">
        <v>10</v>
      </c>
      <c r="D5" s="2" t="s">
        <v>13</v>
      </c>
      <c r="E5" s="5">
        <v>22000</v>
      </c>
    </row>
    <row r="6" spans="1:5" ht="19.5" customHeight="1">
      <c r="A6" s="2">
        <v>5</v>
      </c>
      <c r="B6" s="2" t="s">
        <v>14</v>
      </c>
      <c r="C6" s="2" t="s">
        <v>10</v>
      </c>
      <c r="D6" s="2" t="s">
        <v>15</v>
      </c>
      <c r="E6" s="5">
        <v>21000</v>
      </c>
    </row>
    <row r="7" spans="1:5" ht="19.5" customHeight="1">
      <c r="A7" s="2">
        <v>6</v>
      </c>
      <c r="B7" s="2" t="s">
        <v>16</v>
      </c>
      <c r="C7" s="2" t="s">
        <v>10</v>
      </c>
      <c r="D7" s="2" t="s">
        <v>17</v>
      </c>
      <c r="E7" s="5">
        <v>25000</v>
      </c>
    </row>
    <row r="8" spans="1:5" ht="19.5" customHeight="1">
      <c r="A8" s="2">
        <v>7</v>
      </c>
      <c r="B8" s="2" t="s">
        <v>18</v>
      </c>
      <c r="C8" s="2" t="s">
        <v>262</v>
      </c>
      <c r="D8" s="2" t="s">
        <v>19</v>
      </c>
      <c r="E8" s="5">
        <v>30000</v>
      </c>
    </row>
    <row r="9" spans="1:5" ht="19.5" customHeight="1">
      <c r="A9" s="2">
        <v>8</v>
      </c>
      <c r="B9" s="2" t="s">
        <v>20</v>
      </c>
      <c r="C9" s="2" t="s">
        <v>10</v>
      </c>
      <c r="D9" s="2" t="s">
        <v>21</v>
      </c>
      <c r="E9" s="5">
        <v>40000</v>
      </c>
    </row>
    <row r="10" spans="1:5" ht="19.5" customHeight="1">
      <c r="A10" s="2">
        <v>9</v>
      </c>
      <c r="B10" s="2" t="s">
        <v>22</v>
      </c>
      <c r="C10" s="2" t="s">
        <v>23</v>
      </c>
      <c r="D10" s="2" t="s">
        <v>24</v>
      </c>
      <c r="E10" s="5">
        <v>97000</v>
      </c>
    </row>
    <row r="11" spans="1:5" ht="19.5" customHeight="1">
      <c r="A11" s="2">
        <v>10</v>
      </c>
      <c r="B11" s="2" t="s">
        <v>25</v>
      </c>
      <c r="C11" s="2" t="s">
        <v>26</v>
      </c>
      <c r="D11" s="2" t="s">
        <v>27</v>
      </c>
      <c r="E11" s="5">
        <v>31000</v>
      </c>
    </row>
    <row r="12" spans="1:5" ht="19.5" customHeight="1">
      <c r="A12" s="2">
        <v>11</v>
      </c>
      <c r="B12" s="2" t="s">
        <v>28</v>
      </c>
      <c r="C12" s="2" t="s">
        <v>4</v>
      </c>
      <c r="D12" s="2" t="s">
        <v>29</v>
      </c>
      <c r="E12" s="5">
        <v>21000</v>
      </c>
    </row>
    <row r="13" spans="1:5" ht="19.5" customHeight="1">
      <c r="A13" s="2">
        <v>12</v>
      </c>
      <c r="B13" s="2" t="s">
        <v>30</v>
      </c>
      <c r="C13" s="2" t="s">
        <v>4</v>
      </c>
      <c r="D13" s="2" t="s">
        <v>31</v>
      </c>
      <c r="E13" s="5">
        <v>13800</v>
      </c>
    </row>
    <row r="14" spans="1:5" ht="19.5" customHeight="1">
      <c r="A14" s="2">
        <v>13</v>
      </c>
      <c r="B14" s="2" t="s">
        <v>32</v>
      </c>
      <c r="C14" s="2" t="s">
        <v>26</v>
      </c>
      <c r="D14" s="2" t="s">
        <v>33</v>
      </c>
      <c r="E14" s="5">
        <v>16000</v>
      </c>
    </row>
    <row r="15" spans="1:5" ht="19.5" customHeight="1">
      <c r="A15" s="2">
        <v>14</v>
      </c>
      <c r="B15" s="2" t="s">
        <v>34</v>
      </c>
      <c r="C15" s="2" t="s">
        <v>262</v>
      </c>
      <c r="D15" s="2" t="s">
        <v>35</v>
      </c>
      <c r="E15" s="5">
        <v>23000</v>
      </c>
    </row>
    <row r="16" spans="1:5" ht="19.5" customHeight="1">
      <c r="A16" s="2">
        <v>15</v>
      </c>
      <c r="B16" s="2" t="s">
        <v>36</v>
      </c>
      <c r="C16" s="2" t="s">
        <v>10</v>
      </c>
      <c r="D16" s="2" t="s">
        <v>37</v>
      </c>
      <c r="E16" s="5">
        <v>15000</v>
      </c>
    </row>
    <row r="17" spans="1:5" ht="19.5" customHeight="1">
      <c r="A17" s="2">
        <v>16</v>
      </c>
      <c r="B17" s="2" t="s">
        <v>38</v>
      </c>
      <c r="C17" s="2" t="s">
        <v>39</v>
      </c>
      <c r="D17" s="2" t="s">
        <v>40</v>
      </c>
      <c r="E17" s="5">
        <v>17000</v>
      </c>
    </row>
    <row r="18" spans="1:5" ht="19.5" customHeight="1">
      <c r="A18" s="2">
        <v>17</v>
      </c>
      <c r="B18" s="2" t="s">
        <v>41</v>
      </c>
      <c r="C18" s="2" t="s">
        <v>23</v>
      </c>
      <c r="D18" s="2" t="s">
        <v>42</v>
      </c>
      <c r="E18" s="5">
        <v>39000</v>
      </c>
    </row>
    <row r="19" spans="1:5" ht="19.5" customHeight="1">
      <c r="A19" s="2">
        <v>18</v>
      </c>
      <c r="B19" s="2" t="s">
        <v>43</v>
      </c>
      <c r="C19" s="2" t="s">
        <v>26</v>
      </c>
      <c r="D19" s="2" t="s">
        <v>44</v>
      </c>
      <c r="E19" s="5">
        <v>62000</v>
      </c>
    </row>
    <row r="20" spans="1:5" ht="19.5" customHeight="1">
      <c r="A20" s="2">
        <v>19</v>
      </c>
      <c r="B20" s="2" t="s">
        <v>45</v>
      </c>
      <c r="C20" s="2" t="s">
        <v>39</v>
      </c>
      <c r="D20" s="2" t="s">
        <v>46</v>
      </c>
      <c r="E20" s="5">
        <v>19000</v>
      </c>
    </row>
    <row r="21" spans="1:5" ht="19.5" customHeight="1">
      <c r="A21" s="2">
        <v>20</v>
      </c>
      <c r="B21" s="2" t="s">
        <v>47</v>
      </c>
      <c r="C21" s="2" t="s">
        <v>39</v>
      </c>
      <c r="D21" s="2" t="s">
        <v>48</v>
      </c>
      <c r="E21" s="5">
        <v>81000</v>
      </c>
    </row>
    <row r="22" spans="1:5" ht="19.5" customHeight="1">
      <c r="A22" s="2">
        <v>21</v>
      </c>
      <c r="B22" s="2" t="s">
        <v>49</v>
      </c>
      <c r="C22" s="2" t="s">
        <v>39</v>
      </c>
      <c r="D22" s="2" t="s">
        <v>50</v>
      </c>
      <c r="E22" s="5">
        <v>10000</v>
      </c>
    </row>
    <row r="23" spans="1:5" ht="19.5" customHeight="1">
      <c r="A23" s="2">
        <v>22</v>
      </c>
      <c r="B23" s="2" t="s">
        <v>51</v>
      </c>
      <c r="C23" s="2" t="s">
        <v>52</v>
      </c>
      <c r="D23" s="2" t="s">
        <v>53</v>
      </c>
      <c r="E23" s="5">
        <v>21000</v>
      </c>
    </row>
    <row r="24" spans="1:5" ht="19.5" customHeight="1">
      <c r="A24" s="2">
        <v>23</v>
      </c>
      <c r="B24" s="2" t="s">
        <v>54</v>
      </c>
      <c r="C24" s="2" t="s">
        <v>52</v>
      </c>
      <c r="D24" s="2" t="s">
        <v>55</v>
      </c>
      <c r="E24" s="5">
        <v>9000</v>
      </c>
    </row>
    <row r="25" spans="1:5" ht="19.5" customHeight="1">
      <c r="A25" s="2">
        <v>24</v>
      </c>
      <c r="B25" s="2" t="s">
        <v>56</v>
      </c>
      <c r="C25" s="2" t="s">
        <v>7</v>
      </c>
      <c r="D25" s="2" t="s">
        <v>57</v>
      </c>
      <c r="E25" s="5">
        <v>6000</v>
      </c>
    </row>
    <row r="26" spans="1:5" ht="19.5" customHeight="1">
      <c r="A26" s="2">
        <v>25</v>
      </c>
      <c r="B26" s="2" t="s">
        <v>58</v>
      </c>
      <c r="C26" s="2" t="s">
        <v>39</v>
      </c>
      <c r="D26" s="2" t="s">
        <v>59</v>
      </c>
      <c r="E26" s="5">
        <v>14000</v>
      </c>
    </row>
    <row r="27" spans="1:5" ht="19.5" customHeight="1">
      <c r="A27" s="2">
        <v>26</v>
      </c>
      <c r="B27" s="2" t="s">
        <v>60</v>
      </c>
      <c r="C27" s="2" t="s">
        <v>39</v>
      </c>
      <c r="D27" s="2" t="s">
        <v>61</v>
      </c>
      <c r="E27" s="5">
        <v>31000</v>
      </c>
    </row>
    <row r="28" spans="1:5" ht="19.5" customHeight="1">
      <c r="A28" s="2">
        <v>27</v>
      </c>
      <c r="B28" s="2" t="s">
        <v>62</v>
      </c>
      <c r="C28" s="2" t="s">
        <v>39</v>
      </c>
      <c r="D28" s="2" t="s">
        <v>63</v>
      </c>
      <c r="E28" s="5">
        <v>43000</v>
      </c>
    </row>
    <row r="29" spans="1:5" ht="19.5" customHeight="1">
      <c r="A29" s="2">
        <v>28</v>
      </c>
      <c r="B29" s="2" t="s">
        <v>64</v>
      </c>
      <c r="C29" s="2" t="s">
        <v>262</v>
      </c>
      <c r="D29" s="2" t="s">
        <v>65</v>
      </c>
      <c r="E29" s="5">
        <v>15000</v>
      </c>
    </row>
    <row r="30" spans="1:5" ht="19.5" customHeight="1">
      <c r="A30" s="2">
        <v>29</v>
      </c>
      <c r="B30" s="2" t="s">
        <v>66</v>
      </c>
      <c r="C30" s="2" t="s">
        <v>23</v>
      </c>
      <c r="D30" s="2" t="s">
        <v>67</v>
      </c>
      <c r="E30" s="5">
        <v>123000</v>
      </c>
    </row>
    <row r="31" spans="1:5" ht="19.5" customHeight="1">
      <c r="A31" s="2">
        <v>30</v>
      </c>
      <c r="B31" s="2" t="s">
        <v>68</v>
      </c>
      <c r="C31" s="2" t="s">
        <v>26</v>
      </c>
      <c r="D31" s="2" t="s">
        <v>69</v>
      </c>
      <c r="E31" s="5">
        <v>25000</v>
      </c>
    </row>
    <row r="32" spans="1:5" ht="19.5" customHeight="1">
      <c r="A32" s="2">
        <v>31</v>
      </c>
      <c r="B32" s="2" t="s">
        <v>70</v>
      </c>
      <c r="C32" s="2" t="s">
        <v>4</v>
      </c>
      <c r="D32" s="2" t="s">
        <v>71</v>
      </c>
      <c r="E32" s="5">
        <v>12000</v>
      </c>
    </row>
    <row r="33" spans="1:5" ht="19.5" customHeight="1">
      <c r="A33" s="2">
        <v>32</v>
      </c>
      <c r="B33" s="2" t="s">
        <v>72</v>
      </c>
      <c r="C33" s="2" t="s">
        <v>4</v>
      </c>
      <c r="D33" s="2" t="s">
        <v>73</v>
      </c>
      <c r="E33" s="5">
        <v>32000</v>
      </c>
    </row>
    <row r="34" spans="1:5" ht="19.5" customHeight="1">
      <c r="A34" s="2">
        <v>33</v>
      </c>
      <c r="B34" s="2" t="s">
        <v>74</v>
      </c>
      <c r="C34" s="2" t="s">
        <v>4</v>
      </c>
      <c r="D34" s="2" t="s">
        <v>75</v>
      </c>
      <c r="E34" s="5">
        <v>2000</v>
      </c>
    </row>
    <row r="35" spans="1:5" ht="19.5" customHeight="1">
      <c r="A35" s="2">
        <v>34</v>
      </c>
      <c r="B35" s="2" t="s">
        <v>76</v>
      </c>
      <c r="C35" s="2" t="s">
        <v>7</v>
      </c>
      <c r="D35" s="2" t="s">
        <v>8</v>
      </c>
      <c r="E35" s="5">
        <v>34000</v>
      </c>
    </row>
    <row r="36" spans="1:5" ht="19.5" customHeight="1">
      <c r="A36" s="2">
        <v>35</v>
      </c>
      <c r="B36" s="2" t="s">
        <v>77</v>
      </c>
      <c r="C36" s="2" t="s">
        <v>7</v>
      </c>
      <c r="D36" s="2" t="s">
        <v>8</v>
      </c>
      <c r="E36" s="5">
        <v>38000</v>
      </c>
    </row>
    <row r="37" spans="1:5" ht="19.5" customHeight="1">
      <c r="A37" s="2">
        <v>36</v>
      </c>
      <c r="B37" s="2" t="s">
        <v>78</v>
      </c>
      <c r="C37" s="2" t="s">
        <v>26</v>
      </c>
      <c r="D37" s="2" t="s">
        <v>79</v>
      </c>
      <c r="E37" s="5">
        <v>19000</v>
      </c>
    </row>
    <row r="38" spans="1:5" ht="19.5" customHeight="1">
      <c r="A38" s="2">
        <v>37</v>
      </c>
      <c r="B38" s="2" t="s">
        <v>80</v>
      </c>
      <c r="C38" s="2" t="s">
        <v>26</v>
      </c>
      <c r="D38" s="2" t="s">
        <v>81</v>
      </c>
      <c r="E38" s="5">
        <v>26000</v>
      </c>
    </row>
    <row r="39" spans="1:5" ht="19.5" customHeight="1">
      <c r="A39" s="2">
        <v>38</v>
      </c>
      <c r="B39" s="2" t="s">
        <v>82</v>
      </c>
      <c r="C39" s="2" t="s">
        <v>7</v>
      </c>
      <c r="D39" s="2" t="s">
        <v>83</v>
      </c>
      <c r="E39" s="5">
        <v>26000</v>
      </c>
    </row>
    <row r="40" spans="1:5" ht="19.5" customHeight="1">
      <c r="A40" s="2">
        <v>39</v>
      </c>
      <c r="B40" s="2" t="s">
        <v>84</v>
      </c>
      <c r="C40" s="2" t="s">
        <v>7</v>
      </c>
      <c r="D40" s="2" t="s">
        <v>85</v>
      </c>
      <c r="E40" s="5">
        <v>28000</v>
      </c>
    </row>
    <row r="41" spans="1:5" ht="19.5" customHeight="1">
      <c r="A41" s="2">
        <v>40</v>
      </c>
      <c r="B41" s="2" t="s">
        <v>86</v>
      </c>
      <c r="C41" s="2" t="s">
        <v>26</v>
      </c>
      <c r="D41" s="2" t="s">
        <v>87</v>
      </c>
      <c r="E41" s="5">
        <v>18000</v>
      </c>
    </row>
    <row r="42" spans="1:5" ht="19.5" customHeight="1">
      <c r="A42" s="2">
        <v>41</v>
      </c>
      <c r="B42" s="2" t="s">
        <v>88</v>
      </c>
      <c r="C42" s="2" t="s">
        <v>26</v>
      </c>
      <c r="D42" s="2" t="s">
        <v>89</v>
      </c>
      <c r="E42" s="5">
        <v>9000</v>
      </c>
    </row>
    <row r="43" spans="1:5" ht="19.5" customHeight="1">
      <c r="A43" s="2">
        <v>42</v>
      </c>
      <c r="B43" s="2" t="s">
        <v>90</v>
      </c>
      <c r="C43" s="2" t="s">
        <v>52</v>
      </c>
      <c r="D43" s="2" t="s">
        <v>91</v>
      </c>
      <c r="E43" s="5">
        <v>14000</v>
      </c>
    </row>
    <row r="44" spans="1:5" ht="19.5" customHeight="1">
      <c r="A44" s="2">
        <v>43</v>
      </c>
      <c r="B44" s="2" t="s">
        <v>92</v>
      </c>
      <c r="C44" s="2" t="s">
        <v>7</v>
      </c>
      <c r="D44" s="2" t="s">
        <v>93</v>
      </c>
      <c r="E44" s="5">
        <v>46000</v>
      </c>
    </row>
    <row r="45" spans="1:5" ht="19.5" customHeight="1">
      <c r="A45" s="2">
        <v>44</v>
      </c>
      <c r="B45" s="2" t="s">
        <v>94</v>
      </c>
      <c r="C45" s="2" t="s">
        <v>10</v>
      </c>
      <c r="D45" s="2" t="s">
        <v>95</v>
      </c>
      <c r="E45" s="5">
        <v>19000</v>
      </c>
    </row>
    <row r="46" spans="1:5" ht="19.5" customHeight="1">
      <c r="A46" s="2">
        <v>45</v>
      </c>
      <c r="B46" s="2" t="s">
        <v>96</v>
      </c>
      <c r="C46" s="2" t="s">
        <v>26</v>
      </c>
      <c r="D46" s="2" t="s">
        <v>97</v>
      </c>
      <c r="E46" s="5">
        <v>9000</v>
      </c>
    </row>
    <row r="47" spans="1:5" ht="19.5" customHeight="1">
      <c r="A47" s="2">
        <v>46</v>
      </c>
      <c r="B47" s="2" t="s">
        <v>98</v>
      </c>
      <c r="C47" s="2" t="s">
        <v>26</v>
      </c>
      <c r="D47" s="2" t="s">
        <v>99</v>
      </c>
      <c r="E47" s="5">
        <v>12000</v>
      </c>
    </row>
    <row r="48" spans="1:5" ht="19.5" customHeight="1">
      <c r="A48" s="2">
        <v>47</v>
      </c>
      <c r="B48" s="2" t="s">
        <v>100</v>
      </c>
      <c r="C48" s="2" t="s">
        <v>39</v>
      </c>
      <c r="D48" s="2" t="s">
        <v>101</v>
      </c>
      <c r="E48" s="5">
        <v>9000</v>
      </c>
    </row>
    <row r="49" spans="1:5" ht="19.5" customHeight="1">
      <c r="A49" s="2">
        <v>48</v>
      </c>
      <c r="B49" s="2" t="s">
        <v>102</v>
      </c>
      <c r="C49" s="2" t="s">
        <v>39</v>
      </c>
      <c r="D49" s="2" t="s">
        <v>103</v>
      </c>
      <c r="E49" s="5">
        <v>12000</v>
      </c>
    </row>
    <row r="50" spans="1:5" ht="19.5" customHeight="1">
      <c r="A50" s="2">
        <v>49</v>
      </c>
      <c r="B50" s="2" t="s">
        <v>104</v>
      </c>
      <c r="C50" s="2" t="s">
        <v>39</v>
      </c>
      <c r="D50" s="2" t="s">
        <v>105</v>
      </c>
      <c r="E50" s="5">
        <v>20000</v>
      </c>
    </row>
    <row r="51" spans="1:5" ht="19.5" customHeight="1">
      <c r="A51" s="2">
        <v>50</v>
      </c>
      <c r="B51" s="2" t="s">
        <v>106</v>
      </c>
      <c r="C51" s="2" t="s">
        <v>39</v>
      </c>
      <c r="D51" s="2" t="s">
        <v>107</v>
      </c>
      <c r="E51" s="5">
        <v>16000</v>
      </c>
    </row>
    <row r="52" spans="1:5" ht="19.5" customHeight="1">
      <c r="A52" s="2">
        <v>51</v>
      </c>
      <c r="B52" s="2" t="s">
        <v>108</v>
      </c>
      <c r="C52" s="2" t="s">
        <v>262</v>
      </c>
      <c r="D52" s="2" t="s">
        <v>109</v>
      </c>
      <c r="E52" s="5">
        <v>53000</v>
      </c>
    </row>
    <row r="53" spans="1:5" ht="19.5" customHeight="1">
      <c r="A53" s="2">
        <v>52</v>
      </c>
      <c r="B53" s="2" t="s">
        <v>110</v>
      </c>
      <c r="C53" s="2" t="s">
        <v>52</v>
      </c>
      <c r="D53" s="2" t="s">
        <v>111</v>
      </c>
      <c r="E53" s="5">
        <v>7000</v>
      </c>
    </row>
    <row r="54" spans="1:5" ht="19.5" customHeight="1">
      <c r="A54" s="2">
        <v>53</v>
      </c>
      <c r="B54" s="2" t="s">
        <v>112</v>
      </c>
      <c r="C54" s="2" t="s">
        <v>23</v>
      </c>
      <c r="D54" s="2" t="s">
        <v>113</v>
      </c>
      <c r="E54" s="5">
        <v>32000</v>
      </c>
    </row>
    <row r="55" spans="1:5" ht="19.5" customHeight="1">
      <c r="A55" s="2">
        <v>54</v>
      </c>
      <c r="B55" s="2" t="s">
        <v>114</v>
      </c>
      <c r="C55" s="2" t="s">
        <v>23</v>
      </c>
      <c r="D55" s="2" t="s">
        <v>115</v>
      </c>
      <c r="E55" s="5">
        <v>17000</v>
      </c>
    </row>
    <row r="56" spans="1:5" ht="19.5" customHeight="1">
      <c r="A56" s="2">
        <v>55</v>
      </c>
      <c r="B56" s="2" t="s">
        <v>116</v>
      </c>
      <c r="C56" s="2" t="s">
        <v>23</v>
      </c>
      <c r="D56" s="2" t="s">
        <v>117</v>
      </c>
      <c r="E56" s="5">
        <v>24000</v>
      </c>
    </row>
    <row r="57" spans="1:5" ht="19.5" customHeight="1">
      <c r="A57" s="2">
        <v>56</v>
      </c>
      <c r="B57" s="2" t="s">
        <v>118</v>
      </c>
      <c r="C57" s="2" t="s">
        <v>52</v>
      </c>
      <c r="D57" s="2" t="s">
        <v>119</v>
      </c>
      <c r="E57" s="5">
        <v>38000</v>
      </c>
    </row>
    <row r="58" spans="1:5" ht="19.5" customHeight="1">
      <c r="A58" s="2">
        <v>57</v>
      </c>
      <c r="B58" s="2" t="s">
        <v>120</v>
      </c>
      <c r="C58" s="2" t="s">
        <v>52</v>
      </c>
      <c r="D58" s="2" t="s">
        <v>119</v>
      </c>
      <c r="E58" s="5">
        <v>19000</v>
      </c>
    </row>
    <row r="59" spans="1:5" ht="19.5" customHeight="1">
      <c r="A59" s="2">
        <v>58</v>
      </c>
      <c r="B59" s="2" t="s">
        <v>121</v>
      </c>
      <c r="C59" s="2" t="s">
        <v>26</v>
      </c>
      <c r="D59" s="2" t="s">
        <v>122</v>
      </c>
      <c r="E59" s="5">
        <v>13000</v>
      </c>
    </row>
    <row r="60" spans="1:5" ht="19.5" customHeight="1">
      <c r="A60" s="2">
        <v>59</v>
      </c>
      <c r="B60" s="2" t="s">
        <v>123</v>
      </c>
      <c r="C60" s="2" t="s">
        <v>4</v>
      </c>
      <c r="D60" s="2" t="s">
        <v>124</v>
      </c>
      <c r="E60" s="5">
        <v>55000</v>
      </c>
    </row>
    <row r="61" spans="1:5" ht="19.5" customHeight="1">
      <c r="A61" s="2">
        <v>60</v>
      </c>
      <c r="B61" s="2" t="s">
        <v>125</v>
      </c>
      <c r="C61" s="2" t="s">
        <v>4</v>
      </c>
      <c r="D61" s="2" t="s">
        <v>126</v>
      </c>
      <c r="E61" s="5">
        <v>34000</v>
      </c>
    </row>
    <row r="62" spans="1:5" ht="19.5" customHeight="1">
      <c r="A62" s="2">
        <v>61</v>
      </c>
      <c r="B62" s="2" t="s">
        <v>127</v>
      </c>
      <c r="C62" s="2" t="s">
        <v>10</v>
      </c>
      <c r="D62" s="2" t="s">
        <v>128</v>
      </c>
      <c r="E62" s="5">
        <v>28000</v>
      </c>
    </row>
    <row r="63" spans="1:5" ht="19.5" customHeight="1">
      <c r="A63" s="2">
        <v>62</v>
      </c>
      <c r="B63" s="2" t="s">
        <v>129</v>
      </c>
      <c r="C63" s="2" t="s">
        <v>39</v>
      </c>
      <c r="D63" s="2" t="s">
        <v>130</v>
      </c>
      <c r="E63" s="5">
        <v>49000</v>
      </c>
    </row>
    <row r="64" spans="1:5" ht="19.5" customHeight="1">
      <c r="A64" s="2">
        <v>63</v>
      </c>
      <c r="B64" s="2" t="s">
        <v>131</v>
      </c>
      <c r="C64" s="2" t="s">
        <v>10</v>
      </c>
      <c r="D64" s="2" t="s">
        <v>132</v>
      </c>
      <c r="E64" s="5">
        <v>43000</v>
      </c>
    </row>
    <row r="65" spans="1:5" ht="19.5" customHeight="1">
      <c r="A65" s="2">
        <v>64</v>
      </c>
      <c r="B65" s="2" t="s">
        <v>133</v>
      </c>
      <c r="C65" s="2" t="s">
        <v>52</v>
      </c>
      <c r="D65" s="2" t="s">
        <v>134</v>
      </c>
      <c r="E65" s="5">
        <v>33000</v>
      </c>
    </row>
    <row r="66" spans="1:5" ht="19.5" customHeight="1">
      <c r="A66" s="2">
        <v>65</v>
      </c>
      <c r="B66" s="2" t="s">
        <v>135</v>
      </c>
      <c r="C66" s="2" t="s">
        <v>10</v>
      </c>
      <c r="D66" s="2" t="s">
        <v>136</v>
      </c>
      <c r="E66" s="5">
        <v>21000</v>
      </c>
    </row>
    <row r="67" spans="1:5" ht="19.5" customHeight="1">
      <c r="A67" s="2">
        <v>66</v>
      </c>
      <c r="B67" s="2" t="s">
        <v>137</v>
      </c>
      <c r="C67" s="2" t="s">
        <v>10</v>
      </c>
      <c r="D67" s="2" t="s">
        <v>138</v>
      </c>
      <c r="E67" s="5">
        <v>17000</v>
      </c>
    </row>
    <row r="68" spans="1:5" ht="19.5" customHeight="1">
      <c r="A68" s="2">
        <v>67</v>
      </c>
      <c r="B68" s="2" t="s">
        <v>139</v>
      </c>
      <c r="C68" s="2" t="s">
        <v>7</v>
      </c>
      <c r="D68" s="2" t="s">
        <v>8</v>
      </c>
      <c r="E68" s="5">
        <v>45000</v>
      </c>
    </row>
    <row r="69" spans="1:5" ht="19.5" customHeight="1">
      <c r="A69" s="2">
        <v>68</v>
      </c>
      <c r="B69" s="2" t="s">
        <v>140</v>
      </c>
      <c r="C69" s="2" t="s">
        <v>39</v>
      </c>
      <c r="D69" s="2" t="s">
        <v>141</v>
      </c>
      <c r="E69" s="5">
        <v>12000</v>
      </c>
    </row>
    <row r="70" spans="1:5" ht="19.5" customHeight="1">
      <c r="A70" s="2">
        <v>69</v>
      </c>
      <c r="B70" s="2" t="s">
        <v>142</v>
      </c>
      <c r="C70" s="2" t="s">
        <v>4</v>
      </c>
      <c r="D70" s="2" t="s">
        <v>143</v>
      </c>
      <c r="E70" s="5">
        <v>36000</v>
      </c>
    </row>
    <row r="71" spans="1:5" ht="19.5" customHeight="1">
      <c r="A71" s="2">
        <v>70</v>
      </c>
      <c r="B71" s="2" t="s">
        <v>144</v>
      </c>
      <c r="C71" s="2" t="s">
        <v>7</v>
      </c>
      <c r="D71" s="2" t="s">
        <v>145</v>
      </c>
      <c r="E71" s="5">
        <v>45000</v>
      </c>
    </row>
    <row r="72" spans="1:5" ht="19.5" customHeight="1">
      <c r="A72" s="2">
        <v>71</v>
      </c>
      <c r="B72" s="2" t="s">
        <v>146</v>
      </c>
      <c r="C72" s="2" t="s">
        <v>4</v>
      </c>
      <c r="D72" s="2" t="s">
        <v>31</v>
      </c>
      <c r="E72" s="5">
        <v>21000</v>
      </c>
    </row>
    <row r="73" spans="1:5" ht="19.5" customHeight="1">
      <c r="A73" s="2">
        <v>72</v>
      </c>
      <c r="B73" s="2" t="s">
        <v>147</v>
      </c>
      <c r="C73" s="2" t="s">
        <v>4</v>
      </c>
      <c r="D73" s="2" t="s">
        <v>73</v>
      </c>
      <c r="E73" s="5">
        <v>34000</v>
      </c>
    </row>
    <row r="74" spans="1:5" ht="19.5" customHeight="1">
      <c r="A74" s="2">
        <v>73</v>
      </c>
      <c r="B74" s="2" t="s">
        <v>148</v>
      </c>
      <c r="C74" s="2" t="s">
        <v>26</v>
      </c>
      <c r="D74" s="2" t="s">
        <v>149</v>
      </c>
      <c r="E74" s="5">
        <v>35000</v>
      </c>
    </row>
    <row r="75" spans="1:5" ht="19.5" customHeight="1">
      <c r="A75" s="2">
        <v>74</v>
      </c>
      <c r="B75" s="2" t="s">
        <v>150</v>
      </c>
      <c r="C75" s="2" t="s">
        <v>262</v>
      </c>
      <c r="D75" s="2" t="s">
        <v>124</v>
      </c>
      <c r="E75" s="5">
        <v>10000</v>
      </c>
    </row>
    <row r="76" spans="1:5" ht="19.5" customHeight="1">
      <c r="A76" s="2">
        <v>75</v>
      </c>
      <c r="B76" s="2" t="s">
        <v>151</v>
      </c>
      <c r="C76" s="2" t="s">
        <v>7</v>
      </c>
      <c r="D76" s="2" t="s">
        <v>152</v>
      </c>
      <c r="E76" s="5">
        <v>24000</v>
      </c>
    </row>
    <row r="77" spans="1:5" ht="19.5" customHeight="1">
      <c r="A77" s="2">
        <v>76</v>
      </c>
      <c r="B77" s="2" t="s">
        <v>153</v>
      </c>
      <c r="C77" s="2" t="s">
        <v>7</v>
      </c>
      <c r="D77" s="2" t="s">
        <v>154</v>
      </c>
      <c r="E77" s="5">
        <v>3000</v>
      </c>
    </row>
    <row r="78" spans="1:5" ht="19.5" customHeight="1">
      <c r="A78" s="8">
        <v>77</v>
      </c>
      <c r="B78" s="8" t="s">
        <v>155</v>
      </c>
      <c r="C78" s="8" t="s">
        <v>10</v>
      </c>
      <c r="D78" s="8" t="s">
        <v>156</v>
      </c>
      <c r="E78" s="9">
        <v>13000</v>
      </c>
    </row>
  </sheetData>
  <phoneticPr fontId="2" type="noConversion"/>
  <dataValidations count="1">
    <dataValidation type="whole" operator="greaterThan" allowBlank="1" showInputMessage="1" showErrorMessage="1" errorTitle="단가 입력" error="단가는 숫자로 0보다 큰 숫자만 입력할 수 있습니다." sqref="E2:E65536">
      <formula1>0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tabSelected="1" workbookViewId="0">
      <selection activeCell="A2" sqref="A2"/>
    </sheetView>
  </sheetViews>
  <sheetFormatPr defaultColWidth="9" defaultRowHeight="19.5" customHeight="1"/>
  <cols>
    <col min="1" max="1" width="19.25" style="3" bestFit="1" customWidth="1"/>
    <col min="2" max="2" width="9.5" style="3" bestFit="1" customWidth="1"/>
    <col min="3" max="3" width="11.375" style="3" bestFit="1" customWidth="1"/>
    <col min="4" max="4" width="9.5" style="3" bestFit="1" customWidth="1"/>
    <col min="5" max="5" width="24.375" style="3" bestFit="1" customWidth="1"/>
    <col min="6" max="7" width="13.875" style="3" bestFit="1" customWidth="1"/>
    <col min="8" max="16384" width="9" style="3"/>
  </cols>
  <sheetData>
    <row r="1" spans="1:7" ht="19.5" customHeight="1">
      <c r="A1" s="17" t="s">
        <v>209</v>
      </c>
      <c r="B1" s="18" t="s">
        <v>263</v>
      </c>
      <c r="C1" s="18" t="s">
        <v>210</v>
      </c>
      <c r="D1" s="18" t="s">
        <v>211</v>
      </c>
      <c r="E1" s="18" t="s">
        <v>219</v>
      </c>
      <c r="F1" s="18" t="s">
        <v>249</v>
      </c>
      <c r="G1" s="19" t="s">
        <v>212</v>
      </c>
    </row>
    <row r="2" spans="1:7" ht="19.5" customHeight="1">
      <c r="A2" s="15" t="s">
        <v>161</v>
      </c>
      <c r="B2" s="2" t="s">
        <v>264</v>
      </c>
      <c r="C2" s="2" t="s">
        <v>162</v>
      </c>
      <c r="D2" s="2" t="s">
        <v>257</v>
      </c>
      <c r="E2" s="4" t="s">
        <v>221</v>
      </c>
      <c r="F2" s="2" t="s">
        <v>240</v>
      </c>
      <c r="G2" s="16" t="s">
        <v>163</v>
      </c>
    </row>
    <row r="3" spans="1:7" ht="19.5" customHeight="1">
      <c r="A3" s="15" t="s">
        <v>164</v>
      </c>
      <c r="B3" s="2"/>
      <c r="C3" s="2" t="s">
        <v>165</v>
      </c>
      <c r="D3" s="2" t="s">
        <v>256</v>
      </c>
      <c r="E3" s="4" t="s">
        <v>222</v>
      </c>
      <c r="F3" s="2" t="s">
        <v>241</v>
      </c>
      <c r="G3" s="16" t="s">
        <v>166</v>
      </c>
    </row>
    <row r="4" spans="1:7" ht="19.5" customHeight="1">
      <c r="A4" s="15" t="s">
        <v>167</v>
      </c>
      <c r="B4" s="2"/>
      <c r="C4" s="2" t="s">
        <v>1</v>
      </c>
      <c r="D4" s="2" t="s">
        <v>256</v>
      </c>
      <c r="E4" s="4" t="s">
        <v>223</v>
      </c>
      <c r="F4" s="2" t="s">
        <v>242</v>
      </c>
      <c r="G4" s="16" t="s">
        <v>168</v>
      </c>
    </row>
    <row r="5" spans="1:7" ht="19.5" customHeight="1">
      <c r="A5" s="15" t="s">
        <v>169</v>
      </c>
      <c r="B5" s="2" t="s">
        <v>265</v>
      </c>
      <c r="C5" s="2" t="s">
        <v>170</v>
      </c>
      <c r="D5" s="2" t="s">
        <v>257</v>
      </c>
      <c r="E5" s="4" t="s">
        <v>224</v>
      </c>
      <c r="F5" s="2" t="s">
        <v>253</v>
      </c>
      <c r="G5" s="16" t="s">
        <v>217</v>
      </c>
    </row>
    <row r="6" spans="1:7" ht="19.5" customHeight="1">
      <c r="A6" s="15" t="s">
        <v>171</v>
      </c>
      <c r="B6" s="2" t="s">
        <v>264</v>
      </c>
      <c r="C6" s="2" t="s">
        <v>172</v>
      </c>
      <c r="D6" s="2" t="s">
        <v>257</v>
      </c>
      <c r="E6" s="4" t="s">
        <v>225</v>
      </c>
      <c r="F6" s="2" t="s">
        <v>254</v>
      </c>
      <c r="G6" s="16" t="s">
        <v>218</v>
      </c>
    </row>
    <row r="7" spans="1:7" ht="19.5" customHeight="1">
      <c r="A7" s="15" t="s">
        <v>173</v>
      </c>
      <c r="B7" s="2" t="s">
        <v>266</v>
      </c>
      <c r="C7" s="2" t="s">
        <v>174</v>
      </c>
      <c r="D7" s="2" t="s">
        <v>258</v>
      </c>
      <c r="E7" s="4" t="s">
        <v>226</v>
      </c>
      <c r="F7" s="2" t="s">
        <v>243</v>
      </c>
      <c r="G7" s="16" t="s">
        <v>175</v>
      </c>
    </row>
    <row r="8" spans="1:7" ht="19.5" customHeight="1">
      <c r="A8" s="15" t="s">
        <v>176</v>
      </c>
      <c r="B8" s="2" t="s">
        <v>265</v>
      </c>
      <c r="C8" s="2" t="s">
        <v>0</v>
      </c>
      <c r="D8" s="2" t="s">
        <v>257</v>
      </c>
      <c r="E8" s="4" t="s">
        <v>227</v>
      </c>
      <c r="F8" s="2" t="s">
        <v>269</v>
      </c>
      <c r="G8" s="16" t="s">
        <v>270</v>
      </c>
    </row>
    <row r="9" spans="1:7" ht="19.5" customHeight="1">
      <c r="A9" s="15" t="s">
        <v>177</v>
      </c>
      <c r="B9" s="2" t="s">
        <v>267</v>
      </c>
      <c r="C9" s="2" t="s">
        <v>178</v>
      </c>
      <c r="D9" s="2" t="s">
        <v>259</v>
      </c>
      <c r="E9" s="4" t="s">
        <v>228</v>
      </c>
      <c r="F9" s="2" t="s">
        <v>250</v>
      </c>
      <c r="G9" s="16" t="s">
        <v>213</v>
      </c>
    </row>
    <row r="10" spans="1:7" ht="19.5" customHeight="1">
      <c r="A10" s="15" t="s">
        <v>179</v>
      </c>
      <c r="B10" s="2"/>
      <c r="C10" s="2" t="s">
        <v>180</v>
      </c>
      <c r="D10" s="2" t="s">
        <v>256</v>
      </c>
      <c r="E10" s="4" t="s">
        <v>229</v>
      </c>
      <c r="F10" s="2" t="s">
        <v>244</v>
      </c>
      <c r="G10" s="16" t="s">
        <v>181</v>
      </c>
    </row>
    <row r="11" spans="1:7" ht="19.5" customHeight="1">
      <c r="A11" s="15" t="s">
        <v>182</v>
      </c>
      <c r="B11" s="2" t="s">
        <v>264</v>
      </c>
      <c r="C11" s="2" t="s">
        <v>183</v>
      </c>
      <c r="D11" s="2" t="s">
        <v>257</v>
      </c>
      <c r="E11" s="4" t="s">
        <v>230</v>
      </c>
      <c r="F11" s="2" t="s">
        <v>251</v>
      </c>
      <c r="G11" s="16" t="s">
        <v>214</v>
      </c>
    </row>
    <row r="12" spans="1:7" ht="19.5" customHeight="1">
      <c r="A12" s="15" t="s">
        <v>184</v>
      </c>
      <c r="B12" s="2" t="s">
        <v>267</v>
      </c>
      <c r="C12" s="2" t="s">
        <v>185</v>
      </c>
      <c r="D12" s="2" t="s">
        <v>260</v>
      </c>
      <c r="E12" s="4" t="s">
        <v>231</v>
      </c>
      <c r="F12" s="2" t="s">
        <v>245</v>
      </c>
      <c r="G12" s="16" t="s">
        <v>186</v>
      </c>
    </row>
    <row r="13" spans="1:7" ht="19.5" customHeight="1">
      <c r="A13" s="15" t="s">
        <v>187</v>
      </c>
      <c r="B13" s="2" t="s">
        <v>265</v>
      </c>
      <c r="C13" s="2" t="s">
        <v>188</v>
      </c>
      <c r="D13" s="2" t="s">
        <v>257</v>
      </c>
      <c r="E13" s="4" t="s">
        <v>232</v>
      </c>
      <c r="F13" s="2" t="s">
        <v>272</v>
      </c>
      <c r="G13" s="16" t="s">
        <v>215</v>
      </c>
    </row>
    <row r="14" spans="1:7" ht="19.5" customHeight="1">
      <c r="A14" s="15" t="s">
        <v>189</v>
      </c>
      <c r="B14" s="2"/>
      <c r="C14" s="2" t="s">
        <v>190</v>
      </c>
      <c r="D14" s="2" t="s">
        <v>256</v>
      </c>
      <c r="E14" s="4" t="s">
        <v>233</v>
      </c>
      <c r="F14" s="2" t="s">
        <v>271</v>
      </c>
      <c r="G14" s="16" t="s">
        <v>216</v>
      </c>
    </row>
    <row r="15" spans="1:7" ht="19.5" customHeight="1">
      <c r="A15" s="15" t="s">
        <v>191</v>
      </c>
      <c r="B15" s="2" t="s">
        <v>265</v>
      </c>
      <c r="C15" s="2" t="s">
        <v>192</v>
      </c>
      <c r="D15" s="2" t="s">
        <v>257</v>
      </c>
      <c r="E15" s="4" t="s">
        <v>273</v>
      </c>
      <c r="F15" s="2" t="s">
        <v>274</v>
      </c>
      <c r="G15" s="16" t="s">
        <v>275</v>
      </c>
    </row>
    <row r="16" spans="1:7" ht="19.5" customHeight="1">
      <c r="A16" s="15" t="s">
        <v>193</v>
      </c>
      <c r="B16" s="2" t="s">
        <v>264</v>
      </c>
      <c r="C16" s="2" t="s">
        <v>194</v>
      </c>
      <c r="D16" s="2" t="s">
        <v>261</v>
      </c>
      <c r="E16" s="4" t="s">
        <v>234</v>
      </c>
      <c r="F16" s="2" t="s">
        <v>246</v>
      </c>
      <c r="G16" s="16" t="s">
        <v>195</v>
      </c>
    </row>
    <row r="17" spans="1:7" ht="19.5" customHeight="1">
      <c r="A17" s="15" t="s">
        <v>196</v>
      </c>
      <c r="B17" s="2" t="s">
        <v>265</v>
      </c>
      <c r="C17" s="2" t="s">
        <v>197</v>
      </c>
      <c r="D17" s="2" t="s">
        <v>261</v>
      </c>
      <c r="E17" s="4" t="s">
        <v>235</v>
      </c>
      <c r="F17" s="2" t="s">
        <v>247</v>
      </c>
      <c r="G17" s="16" t="s">
        <v>198</v>
      </c>
    </row>
    <row r="18" spans="1:7" ht="19.5" customHeight="1">
      <c r="A18" s="15" t="s">
        <v>199</v>
      </c>
      <c r="B18" s="2" t="s">
        <v>265</v>
      </c>
      <c r="C18" s="2" t="s">
        <v>200</v>
      </c>
      <c r="D18" s="2" t="s">
        <v>258</v>
      </c>
      <c r="E18" s="4" t="s">
        <v>236</v>
      </c>
      <c r="F18" s="2" t="s">
        <v>248</v>
      </c>
      <c r="G18" s="16" t="s">
        <v>201</v>
      </c>
    </row>
    <row r="19" spans="1:7" ht="19.5" customHeight="1">
      <c r="A19" s="15" t="s">
        <v>202</v>
      </c>
      <c r="B19" s="2" t="s">
        <v>265</v>
      </c>
      <c r="C19" s="2" t="s">
        <v>203</v>
      </c>
      <c r="D19" s="2" t="s">
        <v>261</v>
      </c>
      <c r="E19" s="4" t="s">
        <v>237</v>
      </c>
      <c r="F19" s="2" t="s">
        <v>276</v>
      </c>
      <c r="G19" s="16" t="s">
        <v>277</v>
      </c>
    </row>
    <row r="20" spans="1:7" ht="19.5" customHeight="1">
      <c r="A20" s="15" t="s">
        <v>204</v>
      </c>
      <c r="B20" s="2" t="s">
        <v>265</v>
      </c>
      <c r="C20" s="2" t="s">
        <v>205</v>
      </c>
      <c r="D20" s="2" t="s">
        <v>257</v>
      </c>
      <c r="E20" s="4" t="s">
        <v>238</v>
      </c>
      <c r="F20" s="2" t="s">
        <v>206</v>
      </c>
      <c r="G20" s="16" t="s">
        <v>255</v>
      </c>
    </row>
    <row r="21" spans="1:7" ht="19.5" customHeight="1">
      <c r="A21" s="20" t="s">
        <v>207</v>
      </c>
      <c r="B21" s="8" t="s">
        <v>264</v>
      </c>
      <c r="C21" s="8" t="s">
        <v>208</v>
      </c>
      <c r="D21" s="8" t="s">
        <v>259</v>
      </c>
      <c r="E21" s="21" t="s">
        <v>239</v>
      </c>
      <c r="F21" s="8" t="s">
        <v>252</v>
      </c>
      <c r="G21" s="22" t="s">
        <v>220</v>
      </c>
    </row>
    <row r="22" spans="1:7" ht="19.5" customHeight="1">
      <c r="A22" s="20" t="s">
        <v>305</v>
      </c>
      <c r="B22" s="8" t="s">
        <v>306</v>
      </c>
      <c r="C22" s="8" t="s">
        <v>307</v>
      </c>
      <c r="D22" s="8" t="s">
        <v>308</v>
      </c>
      <c r="E22" s="21"/>
      <c r="F22" s="8" t="s">
        <v>309</v>
      </c>
      <c r="G22" s="22" t="s">
        <v>310</v>
      </c>
    </row>
  </sheetData>
  <phoneticPr fontId="2" type="noConversion"/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6" r:id="rId14"/>
    <hyperlink ref="E17" r:id="rId15"/>
    <hyperlink ref="E18" r:id="rId16"/>
    <hyperlink ref="E19" r:id="rId17"/>
    <hyperlink ref="E20" r:id="rId18"/>
    <hyperlink ref="E21" r:id="rId19"/>
    <hyperlink ref="E15" r:id="rId20"/>
  </hyperlinks>
  <pageMargins left="0.75" right="0.75" top="1" bottom="1" header="0.5" footer="0.5"/>
  <pageSetup paperSize="9" orientation="portrait" horizontalDpi="300" verticalDpi="300" r:id="rId21"/>
  <headerFooter alignWithMargins="0"/>
  <tableParts count="1">
    <tablePart r:id="rId2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A2" sqref="A2"/>
    </sheetView>
  </sheetViews>
  <sheetFormatPr defaultRowHeight="19.5" customHeight="1"/>
  <sheetData>
    <row r="1" spans="1:12" ht="19.5" customHeight="1">
      <c r="A1" s="6" t="s">
        <v>159</v>
      </c>
      <c r="C1" s="65" t="s">
        <v>268</v>
      </c>
      <c r="D1" s="65"/>
      <c r="E1" s="12" t="s">
        <v>262</v>
      </c>
      <c r="F1" s="13" t="s">
        <v>52</v>
      </c>
      <c r="G1" s="13" t="s">
        <v>39</v>
      </c>
      <c r="H1" s="12" t="s">
        <v>4</v>
      </c>
      <c r="I1" s="12" t="s">
        <v>23</v>
      </c>
      <c r="J1" s="13" t="s">
        <v>7</v>
      </c>
      <c r="K1" s="12" t="s">
        <v>10</v>
      </c>
      <c r="L1" s="13" t="s">
        <v>26</v>
      </c>
    </row>
    <row r="2" spans="1:12" ht="19.5" customHeight="1">
      <c r="A2" s="12" t="s">
        <v>262</v>
      </c>
      <c r="C2" s="11">
        <v>1</v>
      </c>
      <c r="D2" s="11">
        <v>50</v>
      </c>
      <c r="E2" s="14">
        <v>0.03</v>
      </c>
      <c r="F2" s="14">
        <v>1.4999999999999999E-2</v>
      </c>
      <c r="G2" s="14">
        <v>0.02</v>
      </c>
      <c r="H2" s="14">
        <v>0.02</v>
      </c>
      <c r="I2" s="14">
        <v>0.02</v>
      </c>
      <c r="J2" s="14">
        <v>0.03</v>
      </c>
      <c r="K2" s="14">
        <v>2.5000000000000001E-2</v>
      </c>
      <c r="L2" s="14">
        <v>3.5000000000000003E-2</v>
      </c>
    </row>
    <row r="3" spans="1:12" ht="19.5" customHeight="1">
      <c r="A3" s="13" t="s">
        <v>52</v>
      </c>
      <c r="C3" s="11">
        <v>51</v>
      </c>
      <c r="D3" s="11">
        <v>100</v>
      </c>
      <c r="E3" s="14">
        <v>0.05</v>
      </c>
      <c r="F3" s="14">
        <v>0.03</v>
      </c>
      <c r="G3" s="14">
        <v>0.05</v>
      </c>
      <c r="H3" s="14">
        <v>0.03</v>
      </c>
      <c r="I3" s="14">
        <v>2.5000000000000001E-2</v>
      </c>
      <c r="J3" s="14">
        <v>0.04</v>
      </c>
      <c r="K3" s="14">
        <v>0.05</v>
      </c>
      <c r="L3" s="14">
        <v>0.05</v>
      </c>
    </row>
    <row r="4" spans="1:12" ht="19.5" customHeight="1">
      <c r="A4" s="13" t="s">
        <v>39</v>
      </c>
      <c r="C4" s="11">
        <v>101</v>
      </c>
      <c r="D4" s="11">
        <v>150</v>
      </c>
      <c r="E4" s="14">
        <v>7.0000000000000007E-2</v>
      </c>
      <c r="F4" s="14">
        <v>4.4999999999999998E-2</v>
      </c>
      <c r="G4" s="14">
        <v>0.08</v>
      </c>
      <c r="H4" s="14">
        <v>4.4999999999999998E-2</v>
      </c>
      <c r="I4" s="14">
        <v>0.04</v>
      </c>
      <c r="J4" s="14">
        <v>0.08</v>
      </c>
      <c r="K4" s="14">
        <v>7.0000000000000007E-2</v>
      </c>
      <c r="L4" s="14">
        <v>0.1</v>
      </c>
    </row>
    <row r="5" spans="1:12" ht="19.5" customHeight="1">
      <c r="A5" s="12" t="s">
        <v>4</v>
      </c>
      <c r="C5" s="11">
        <v>151</v>
      </c>
      <c r="D5" s="11">
        <v>200</v>
      </c>
      <c r="E5" s="14">
        <v>0.1</v>
      </c>
      <c r="F5" s="14">
        <v>0.08</v>
      </c>
      <c r="G5" s="14">
        <v>0.1</v>
      </c>
      <c r="H5" s="14">
        <v>0.06</v>
      </c>
      <c r="I5" s="14">
        <v>0.06</v>
      </c>
      <c r="J5" s="14">
        <v>0.1</v>
      </c>
      <c r="K5" s="14">
        <v>0.12</v>
      </c>
      <c r="L5" s="14">
        <v>0.15</v>
      </c>
    </row>
    <row r="6" spans="1:12" ht="19.5" customHeight="1">
      <c r="A6" s="12" t="s">
        <v>23</v>
      </c>
    </row>
    <row r="7" spans="1:12" ht="19.5" customHeight="1">
      <c r="A7" s="13" t="s">
        <v>7</v>
      </c>
    </row>
    <row r="8" spans="1:12" ht="19.5" customHeight="1">
      <c r="A8" s="12" t="s">
        <v>10</v>
      </c>
    </row>
    <row r="9" spans="1:12" ht="19.5" customHeight="1">
      <c r="A9" s="13" t="s">
        <v>26</v>
      </c>
    </row>
  </sheetData>
  <sortState ref="A2:A9">
    <sortCondition ref="A2"/>
  </sortState>
  <mergeCells count="1">
    <mergeCell ref="C1:D1"/>
  </mergeCells>
  <phoneticPr fontId="9" type="noConversion"/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"/>
  <sheetViews>
    <sheetView zoomScale="90" zoomScaleNormal="90" workbookViewId="0">
      <pane ySplit="3" topLeftCell="A4" activePane="bottomLeft" state="frozen"/>
      <selection pane="bottomLeft" activeCell="J24" sqref="J24"/>
    </sheetView>
  </sheetViews>
  <sheetFormatPr defaultColWidth="5" defaultRowHeight="19.5" customHeight="1"/>
  <sheetData>
    <row r="1" spans="1:18" s="30" customFormat="1" ht="9.75" customHeight="1"/>
    <row r="2" spans="1:18" s="30" customFormat="1" ht="27" customHeight="1"/>
    <row r="3" spans="1:18" s="30" customFormat="1" ht="9.75" customHeight="1"/>
    <row r="5" spans="1:18" ht="19.5" customHeight="1">
      <c r="A5" s="23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5"/>
    </row>
    <row r="6" spans="1:18" ht="19.5" customHeight="1">
      <c r="A6" s="26"/>
      <c r="B6" s="66" t="s">
        <v>278</v>
      </c>
      <c r="C6" s="66"/>
      <c r="D6" s="66"/>
      <c r="E6" s="66"/>
      <c r="F6" s="66"/>
      <c r="G6" s="66"/>
      <c r="H6" s="66"/>
      <c r="I6" s="31"/>
      <c r="J6" s="66" t="s">
        <v>285</v>
      </c>
      <c r="K6" s="66"/>
      <c r="L6" s="66"/>
      <c r="M6" s="66"/>
      <c r="N6" s="66"/>
      <c r="O6" s="66"/>
      <c r="P6" s="66"/>
      <c r="Q6" s="66"/>
      <c r="R6" s="27"/>
    </row>
    <row r="7" spans="1:18" ht="19.5" customHeight="1">
      <c r="A7" s="26"/>
      <c r="B7" s="65" t="s">
        <v>279</v>
      </c>
      <c r="C7" s="65"/>
      <c r="D7" s="68" t="s">
        <v>301</v>
      </c>
      <c r="E7" s="68"/>
      <c r="F7" s="68"/>
      <c r="G7" s="68"/>
      <c r="H7" s="68"/>
      <c r="I7" s="31"/>
      <c r="J7" s="65" t="s">
        <v>279</v>
      </c>
      <c r="K7" s="65"/>
      <c r="L7" s="69" t="s">
        <v>177</v>
      </c>
      <c r="M7" s="69"/>
      <c r="N7" s="69"/>
      <c r="O7" s="69"/>
      <c r="P7" s="67"/>
      <c r="Q7" s="67"/>
      <c r="R7" s="27"/>
    </row>
    <row r="8" spans="1:18" ht="19.5" customHeight="1">
      <c r="A8" s="26"/>
      <c r="B8" s="65" t="s">
        <v>280</v>
      </c>
      <c r="C8" s="65"/>
      <c r="D8" s="68" t="s">
        <v>302</v>
      </c>
      <c r="E8" s="68"/>
      <c r="F8" s="68"/>
      <c r="G8" s="68"/>
      <c r="H8" s="68"/>
      <c r="I8" s="31"/>
      <c r="J8" s="65" t="s">
        <v>286</v>
      </c>
      <c r="K8" s="65"/>
      <c r="L8" s="69" t="str">
        <f>IFERROR(VLOOKUP(의뢰자, 고객[], 2, FALSE),"")</f>
        <v>기획실</v>
      </c>
      <c r="M8" s="69"/>
      <c r="N8" s="69"/>
      <c r="O8" s="69"/>
      <c r="P8" s="67"/>
      <c r="Q8" s="67"/>
      <c r="R8" s="27"/>
    </row>
    <row r="9" spans="1:18" ht="19.5" customHeight="1">
      <c r="A9" s="26"/>
      <c r="B9" s="65" t="s">
        <v>281</v>
      </c>
      <c r="C9" s="65"/>
      <c r="D9" s="68" t="s">
        <v>303</v>
      </c>
      <c r="E9" s="68"/>
      <c r="F9" s="68"/>
      <c r="G9" s="68"/>
      <c r="H9" s="68"/>
      <c r="I9" s="31"/>
      <c r="J9" s="65" t="s">
        <v>287</v>
      </c>
      <c r="K9" s="65"/>
      <c r="L9" s="69" t="str">
        <f>IFERROR(VLOOKUP(의뢰자, 고객[], 3, FALSE),"")</f>
        <v>정영일</v>
      </c>
      <c r="M9" s="69"/>
      <c r="N9" s="69"/>
      <c r="O9" s="69"/>
      <c r="P9" s="67"/>
      <c r="Q9" s="67"/>
      <c r="R9" s="27"/>
    </row>
    <row r="10" spans="1:18" ht="19.5" customHeight="1">
      <c r="A10" s="26"/>
      <c r="B10" s="65" t="s">
        <v>282</v>
      </c>
      <c r="C10" s="65"/>
      <c r="D10" s="68" t="s">
        <v>304</v>
      </c>
      <c r="E10" s="68"/>
      <c r="F10" s="68"/>
      <c r="G10" s="68"/>
      <c r="H10" s="68"/>
      <c r="I10" s="31"/>
      <c r="J10" s="65" t="s">
        <v>288</v>
      </c>
      <c r="K10" s="65"/>
      <c r="L10" s="69" t="str">
        <f>IFERROR(VLOOKUP(의뢰자, 고객[], 4, FALSE),"")</f>
        <v>부장</v>
      </c>
      <c r="M10" s="69"/>
      <c r="N10" s="69"/>
      <c r="O10" s="69"/>
      <c r="P10" s="67"/>
      <c r="Q10" s="67"/>
      <c r="R10" s="27"/>
    </row>
    <row r="11" spans="1:18" ht="19.5" customHeight="1">
      <c r="A11" s="26"/>
      <c r="B11" s="65"/>
      <c r="C11" s="65"/>
      <c r="D11" s="68"/>
      <c r="E11" s="68"/>
      <c r="F11" s="68"/>
      <c r="G11" s="68"/>
      <c r="H11" s="68"/>
      <c r="I11" s="31"/>
      <c r="J11" s="65" t="s">
        <v>289</v>
      </c>
      <c r="K11" s="65"/>
      <c r="L11" s="69" t="str">
        <f>IFERROR(VLOOKUP(의뢰자, 고객[], 5, FALSE),"")</f>
        <v>jung@samhwa.co.kr</v>
      </c>
      <c r="M11" s="69"/>
      <c r="N11" s="69"/>
      <c r="O11" s="69"/>
      <c r="P11" s="67"/>
      <c r="Q11" s="67"/>
      <c r="R11" s="27"/>
    </row>
    <row r="12" spans="1:18" ht="19.5" customHeight="1">
      <c r="A12" s="26"/>
      <c r="B12" s="65" t="s">
        <v>283</v>
      </c>
      <c r="C12" s="65"/>
      <c r="D12" s="68"/>
      <c r="E12" s="68"/>
      <c r="F12" s="68"/>
      <c r="G12" s="68"/>
      <c r="H12" s="68"/>
      <c r="I12" s="31"/>
      <c r="J12" s="65" t="s">
        <v>290</v>
      </c>
      <c r="K12" s="65"/>
      <c r="L12" s="69" t="str">
        <f>IFERROR(VLOOKUP(의뢰자, 고객[], 6, FALSE),"")</f>
        <v>(051)324-1945</v>
      </c>
      <c r="M12" s="69"/>
      <c r="N12" s="69"/>
      <c r="O12" s="69"/>
      <c r="P12" s="67"/>
      <c r="Q12" s="67"/>
      <c r="R12" s="27"/>
    </row>
    <row r="13" spans="1:18" ht="19.5" customHeight="1">
      <c r="A13" s="26"/>
      <c r="B13" s="65" t="s">
        <v>284</v>
      </c>
      <c r="C13" s="65"/>
      <c r="D13" s="68"/>
      <c r="E13" s="68"/>
      <c r="F13" s="68"/>
      <c r="G13" s="68"/>
      <c r="H13" s="68"/>
      <c r="I13" s="31"/>
      <c r="J13" s="65" t="s">
        <v>291</v>
      </c>
      <c r="K13" s="65"/>
      <c r="L13" s="69" t="str">
        <f>IFERROR(VLOOKUP(의뢰자, 고객[], 7, FALSE),"")</f>
        <v>(051)344-1925</v>
      </c>
      <c r="M13" s="69"/>
      <c r="N13" s="69"/>
      <c r="O13" s="69"/>
      <c r="P13" s="67"/>
      <c r="Q13" s="67"/>
      <c r="R13" s="27"/>
    </row>
    <row r="14" spans="1:18" ht="19.5" customHeight="1">
      <c r="A14" s="28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29"/>
    </row>
    <row r="16" spans="1:18" ht="19.5" customHeight="1">
      <c r="A16" s="23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</row>
    <row r="17" spans="1:18" ht="19.5" customHeight="1">
      <c r="A17" s="26"/>
      <c r="B17" s="65" t="s">
        <v>292</v>
      </c>
      <c r="C17" s="65"/>
      <c r="D17" s="70">
        <f>COUNTA(B21:C40)</f>
        <v>4</v>
      </c>
      <c r="E17" s="70"/>
      <c r="F17" s="31"/>
      <c r="G17" s="65" t="s">
        <v>293</v>
      </c>
      <c r="H17" s="65"/>
      <c r="I17" s="71">
        <f>SUM(O21:Q40)</f>
        <v>2389900</v>
      </c>
      <c r="J17" s="70"/>
      <c r="K17" s="70"/>
      <c r="L17" s="31"/>
      <c r="M17" s="31"/>
      <c r="N17" s="31"/>
      <c r="O17" s="31"/>
      <c r="P17" s="31"/>
      <c r="Q17" s="31"/>
      <c r="R17" s="33"/>
    </row>
    <row r="18" spans="1:18" ht="19.5" customHeight="1">
      <c r="A18" s="26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27"/>
    </row>
    <row r="19" spans="1:18" ht="19.5" customHeight="1">
      <c r="A19" s="26"/>
      <c r="B19" s="66" t="s">
        <v>294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27"/>
    </row>
    <row r="20" spans="1:18" ht="19.5" customHeight="1">
      <c r="A20" s="26"/>
      <c r="B20" s="65" t="s">
        <v>295</v>
      </c>
      <c r="C20" s="65"/>
      <c r="D20" s="65" t="s">
        <v>296</v>
      </c>
      <c r="E20" s="65"/>
      <c r="F20" s="65"/>
      <c r="G20" s="65"/>
      <c r="H20" s="65"/>
      <c r="I20" s="65"/>
      <c r="J20" s="32" t="s">
        <v>297</v>
      </c>
      <c r="K20" s="65" t="s">
        <v>298</v>
      </c>
      <c r="L20" s="65"/>
      <c r="M20" s="65" t="s">
        <v>299</v>
      </c>
      <c r="N20" s="65"/>
      <c r="O20" s="65" t="s">
        <v>300</v>
      </c>
      <c r="P20" s="65"/>
      <c r="Q20" s="65"/>
      <c r="R20" s="27"/>
    </row>
    <row r="21" spans="1:18" ht="19.5" customHeight="1">
      <c r="A21" s="26"/>
      <c r="B21" s="72" t="s">
        <v>39</v>
      </c>
      <c r="C21" s="72"/>
      <c r="D21" s="72" t="s">
        <v>60</v>
      </c>
      <c r="E21" s="72"/>
      <c r="F21" s="72"/>
      <c r="G21" s="72"/>
      <c r="H21" s="72"/>
      <c r="I21" s="72"/>
      <c r="J21" s="11">
        <v>5</v>
      </c>
      <c r="K21" s="73">
        <f>IF(LEN(J21)&gt;0, VLOOKUP(D21, 제품[제품명]:제품[단가], 4, FALSE), 0)</f>
        <v>31000</v>
      </c>
      <c r="L21" s="73"/>
      <c r="M21" s="74">
        <f>IF(LEN(J21)&gt;0, INDEX(분류!$E$2:$L$5, MATCH(J21, 분류!$C$2:$C$5, 1),  MATCH(B21, 분류!$E$1:$L$1, 0)), 0)</f>
        <v>0.02</v>
      </c>
      <c r="N21" s="74"/>
      <c r="O21" s="73">
        <f>ROUNDDOWN(J21*K21*(1-M21), -2)</f>
        <v>151900</v>
      </c>
      <c r="P21" s="73"/>
      <c r="Q21" s="73"/>
      <c r="R21" s="27"/>
    </row>
    <row r="22" spans="1:18" ht="19.5" customHeight="1">
      <c r="A22" s="26"/>
      <c r="B22" s="72" t="s">
        <v>4</v>
      </c>
      <c r="C22" s="72"/>
      <c r="D22" s="72" t="s">
        <v>146</v>
      </c>
      <c r="E22" s="72"/>
      <c r="F22" s="72"/>
      <c r="G22" s="72"/>
      <c r="H22" s="72"/>
      <c r="I22" s="72"/>
      <c r="J22" s="11">
        <v>15</v>
      </c>
      <c r="K22" s="73">
        <f>IF(LEN(J22)&gt;0, VLOOKUP(D22, 제품[제품명]:제품[단가], 4, FALSE), 0)</f>
        <v>21000</v>
      </c>
      <c r="L22" s="73"/>
      <c r="M22" s="74">
        <f>IF(LEN(J22)&gt;0, INDEX(분류!$E$2:$L$5, MATCH(J22, 분류!$C$2:$C$5, 1),  MATCH(B22, 분류!$E$1:$L$1, 0)), 0)</f>
        <v>0.02</v>
      </c>
      <c r="N22" s="74"/>
      <c r="O22" s="73">
        <f t="shared" ref="O22:O40" si="0">ROUNDDOWN(J22*K22*(1-M22), -2)</f>
        <v>308700</v>
      </c>
      <c r="P22" s="73"/>
      <c r="Q22" s="73"/>
      <c r="R22" s="27"/>
    </row>
    <row r="23" spans="1:18" ht="19.5" customHeight="1">
      <c r="A23" s="26"/>
      <c r="B23" s="72" t="s">
        <v>10</v>
      </c>
      <c r="C23" s="72"/>
      <c r="D23" s="72" t="s">
        <v>135</v>
      </c>
      <c r="E23" s="72"/>
      <c r="F23" s="72"/>
      <c r="G23" s="72"/>
      <c r="H23" s="72"/>
      <c r="I23" s="72"/>
      <c r="J23" s="11">
        <v>20</v>
      </c>
      <c r="K23" s="73">
        <f>IF(LEN(J23)&gt;0, VLOOKUP(D23, 제품[제품명]:제품[단가], 4, FALSE), 0)</f>
        <v>21000</v>
      </c>
      <c r="L23" s="73"/>
      <c r="M23" s="74">
        <f>IF(LEN(J23)&gt;0, INDEX(분류!$E$2:$L$5, MATCH(J23, 분류!$C$2:$C$5, 1),  MATCH(B23, 분류!$E$1:$L$1, 0)), 0)</f>
        <v>2.5000000000000001E-2</v>
      </c>
      <c r="N23" s="74"/>
      <c r="O23" s="73">
        <f t="shared" si="0"/>
        <v>409500</v>
      </c>
      <c r="P23" s="73"/>
      <c r="Q23" s="73"/>
      <c r="R23" s="27"/>
    </row>
    <row r="24" spans="1:18" ht="19.5" customHeight="1">
      <c r="A24" s="26"/>
      <c r="B24" s="72" t="s">
        <v>26</v>
      </c>
      <c r="C24" s="72"/>
      <c r="D24" s="72" t="s">
        <v>148</v>
      </c>
      <c r="E24" s="72"/>
      <c r="F24" s="72"/>
      <c r="G24" s="72"/>
      <c r="H24" s="72"/>
      <c r="I24" s="72"/>
      <c r="J24" s="11">
        <v>45</v>
      </c>
      <c r="K24" s="73">
        <f>IF(LEN(J24)&gt;0, VLOOKUP(D24, 제품[제품명]:제품[단가], 4, FALSE), 0)</f>
        <v>35000</v>
      </c>
      <c r="L24" s="73"/>
      <c r="M24" s="74">
        <f>IF(LEN(J24)&gt;0, INDEX(분류!$E$2:$L$5, MATCH(J24, 분류!$C$2:$C$5, 1),  MATCH(B24, 분류!$E$1:$L$1, 0)), 0)</f>
        <v>3.5000000000000003E-2</v>
      </c>
      <c r="N24" s="74"/>
      <c r="O24" s="73">
        <f t="shared" si="0"/>
        <v>1519800</v>
      </c>
      <c r="P24" s="73"/>
      <c r="Q24" s="73"/>
      <c r="R24" s="27"/>
    </row>
    <row r="25" spans="1:18" ht="19.5" customHeight="1">
      <c r="A25" s="26"/>
      <c r="B25" s="72"/>
      <c r="C25" s="72"/>
      <c r="D25" s="72"/>
      <c r="E25" s="72"/>
      <c r="F25" s="72"/>
      <c r="G25" s="72"/>
      <c r="H25" s="72"/>
      <c r="I25" s="72"/>
      <c r="J25" s="11"/>
      <c r="K25" s="73">
        <f>IF(LEN(J25)&gt;0, VLOOKUP(D25, 제품[제품명]:제품[단가], 4, FALSE), 0)</f>
        <v>0</v>
      </c>
      <c r="L25" s="73"/>
      <c r="M25" s="74">
        <f>IF(LEN(J25)&gt;0, INDEX(분류!$E$2:$L$5, MATCH(J25, 분류!$C$2:$C$5, 1),  MATCH(B25, 분류!$E$1:$L$1, 0)), 0)</f>
        <v>0</v>
      </c>
      <c r="N25" s="74"/>
      <c r="O25" s="73">
        <f t="shared" si="0"/>
        <v>0</v>
      </c>
      <c r="P25" s="73"/>
      <c r="Q25" s="73"/>
      <c r="R25" s="27"/>
    </row>
    <row r="26" spans="1:18" ht="19.5" customHeight="1">
      <c r="A26" s="26"/>
      <c r="B26" s="72"/>
      <c r="C26" s="72"/>
      <c r="D26" s="72"/>
      <c r="E26" s="72"/>
      <c r="F26" s="72"/>
      <c r="G26" s="72"/>
      <c r="H26" s="72"/>
      <c r="I26" s="72"/>
      <c r="J26" s="11"/>
      <c r="K26" s="73">
        <f>IF(LEN(J26)&gt;0, VLOOKUP(D26, 제품[제품명]:제품[단가], 4, FALSE), 0)</f>
        <v>0</v>
      </c>
      <c r="L26" s="73"/>
      <c r="M26" s="74">
        <f>IF(LEN(J26)&gt;0, INDEX(분류!$E$2:$L$5, MATCH(J26, 분류!$C$2:$C$5, 1),  MATCH(B26, 분류!$E$1:$L$1, 0)), 0)</f>
        <v>0</v>
      </c>
      <c r="N26" s="74"/>
      <c r="O26" s="73">
        <f t="shared" si="0"/>
        <v>0</v>
      </c>
      <c r="P26" s="73"/>
      <c r="Q26" s="73"/>
      <c r="R26" s="27"/>
    </row>
    <row r="27" spans="1:18" ht="19.5" customHeight="1">
      <c r="A27" s="26"/>
      <c r="B27" s="72"/>
      <c r="C27" s="72"/>
      <c r="D27" s="72"/>
      <c r="E27" s="72"/>
      <c r="F27" s="72"/>
      <c r="G27" s="72"/>
      <c r="H27" s="72"/>
      <c r="I27" s="72"/>
      <c r="J27" s="11"/>
      <c r="K27" s="73">
        <f>IF(LEN(J27)&gt;0, VLOOKUP(D27, 제품[제품명]:제품[단가], 4, FALSE), 0)</f>
        <v>0</v>
      </c>
      <c r="L27" s="73"/>
      <c r="M27" s="74">
        <f>IF(LEN(J27)&gt;0, INDEX(분류!$E$2:$L$5, MATCH(J27, 분류!$C$2:$C$5, 1),  MATCH(B27, 분류!$E$1:$L$1, 0)), 0)</f>
        <v>0</v>
      </c>
      <c r="N27" s="74"/>
      <c r="O27" s="73">
        <f t="shared" si="0"/>
        <v>0</v>
      </c>
      <c r="P27" s="73"/>
      <c r="Q27" s="73"/>
      <c r="R27" s="27"/>
    </row>
    <row r="28" spans="1:18" ht="19.5" customHeight="1">
      <c r="A28" s="26"/>
      <c r="B28" s="72"/>
      <c r="C28" s="72"/>
      <c r="D28" s="72"/>
      <c r="E28" s="72"/>
      <c r="F28" s="72"/>
      <c r="G28" s="72"/>
      <c r="H28" s="72"/>
      <c r="I28" s="72"/>
      <c r="J28" s="11"/>
      <c r="K28" s="73">
        <f>IF(LEN(J28)&gt;0, VLOOKUP(D28, 제품[제품명]:제품[단가], 4, FALSE), 0)</f>
        <v>0</v>
      </c>
      <c r="L28" s="73"/>
      <c r="M28" s="74">
        <f>IF(LEN(J28)&gt;0, INDEX(분류!$E$2:$L$5, MATCH(J28, 분류!$C$2:$C$5, 1),  MATCH(B28, 분류!$E$1:$L$1, 0)), 0)</f>
        <v>0</v>
      </c>
      <c r="N28" s="74"/>
      <c r="O28" s="73">
        <f t="shared" si="0"/>
        <v>0</v>
      </c>
      <c r="P28" s="73"/>
      <c r="Q28" s="73"/>
      <c r="R28" s="27"/>
    </row>
    <row r="29" spans="1:18" ht="19.5" customHeight="1">
      <c r="A29" s="26"/>
      <c r="B29" s="72"/>
      <c r="C29" s="72"/>
      <c r="D29" s="72"/>
      <c r="E29" s="72"/>
      <c r="F29" s="72"/>
      <c r="G29" s="72"/>
      <c r="H29" s="72"/>
      <c r="I29" s="72"/>
      <c r="J29" s="11"/>
      <c r="K29" s="73">
        <f>IF(LEN(J29)&gt;0, VLOOKUP(D29, 제품[제품명]:제품[단가], 4, FALSE), 0)</f>
        <v>0</v>
      </c>
      <c r="L29" s="73"/>
      <c r="M29" s="74">
        <f>IF(LEN(J29)&gt;0, INDEX(분류!$E$2:$L$5, MATCH(J29, 분류!$C$2:$C$5, 1),  MATCH(B29, 분류!$E$1:$L$1, 0)), 0)</f>
        <v>0</v>
      </c>
      <c r="N29" s="74"/>
      <c r="O29" s="73">
        <f t="shared" si="0"/>
        <v>0</v>
      </c>
      <c r="P29" s="73"/>
      <c r="Q29" s="73"/>
      <c r="R29" s="27"/>
    </row>
    <row r="30" spans="1:18" ht="19.5" customHeight="1">
      <c r="A30" s="26"/>
      <c r="B30" s="72"/>
      <c r="C30" s="72"/>
      <c r="D30" s="72"/>
      <c r="E30" s="72"/>
      <c r="F30" s="72"/>
      <c r="G30" s="72"/>
      <c r="H30" s="72"/>
      <c r="I30" s="72"/>
      <c r="J30" s="11"/>
      <c r="K30" s="73">
        <f>IF(LEN(J30)&gt;0, VLOOKUP(D30, 제품[제품명]:제품[단가], 4, FALSE), 0)</f>
        <v>0</v>
      </c>
      <c r="L30" s="73"/>
      <c r="M30" s="74">
        <f>IF(LEN(J30)&gt;0, INDEX(분류!$E$2:$L$5, MATCH(J30, 분류!$C$2:$C$5, 1),  MATCH(B30, 분류!$E$1:$L$1, 0)), 0)</f>
        <v>0</v>
      </c>
      <c r="N30" s="74"/>
      <c r="O30" s="73">
        <f t="shared" si="0"/>
        <v>0</v>
      </c>
      <c r="P30" s="73"/>
      <c r="Q30" s="73"/>
      <c r="R30" s="27"/>
    </row>
    <row r="31" spans="1:18" ht="19.5" customHeight="1">
      <c r="A31" s="26"/>
      <c r="B31" s="72"/>
      <c r="C31" s="72"/>
      <c r="D31" s="72"/>
      <c r="E31" s="72"/>
      <c r="F31" s="72"/>
      <c r="G31" s="72"/>
      <c r="H31" s="72"/>
      <c r="I31" s="72"/>
      <c r="J31" s="11"/>
      <c r="K31" s="73">
        <f>IF(LEN(J31)&gt;0, VLOOKUP(D31, 제품[제품명]:제품[단가], 4, FALSE), 0)</f>
        <v>0</v>
      </c>
      <c r="L31" s="73"/>
      <c r="M31" s="74">
        <f>IF(LEN(J31)&gt;0, INDEX(분류!$E$2:$L$5, MATCH(J31, 분류!$C$2:$C$5, 1),  MATCH(B31, 분류!$E$1:$L$1, 0)), 0)</f>
        <v>0</v>
      </c>
      <c r="N31" s="74"/>
      <c r="O31" s="73">
        <f t="shared" si="0"/>
        <v>0</v>
      </c>
      <c r="P31" s="73"/>
      <c r="Q31" s="73"/>
      <c r="R31" s="27"/>
    </row>
    <row r="32" spans="1:18" ht="19.5" customHeight="1">
      <c r="A32" s="26"/>
      <c r="B32" s="72"/>
      <c r="C32" s="72"/>
      <c r="D32" s="72"/>
      <c r="E32" s="72"/>
      <c r="F32" s="72"/>
      <c r="G32" s="72"/>
      <c r="H32" s="72"/>
      <c r="I32" s="72"/>
      <c r="J32" s="11"/>
      <c r="K32" s="73">
        <f>IF(LEN(J32)&gt;0, VLOOKUP(D32, 제품[제품명]:제품[단가], 4, FALSE), 0)</f>
        <v>0</v>
      </c>
      <c r="L32" s="73"/>
      <c r="M32" s="74">
        <f>IF(LEN(J32)&gt;0, INDEX(분류!$E$2:$L$5, MATCH(J32, 분류!$C$2:$C$5, 1),  MATCH(B32, 분류!$E$1:$L$1, 0)), 0)</f>
        <v>0</v>
      </c>
      <c r="N32" s="74"/>
      <c r="O32" s="73">
        <f t="shared" si="0"/>
        <v>0</v>
      </c>
      <c r="P32" s="73"/>
      <c r="Q32" s="73"/>
      <c r="R32" s="27"/>
    </row>
    <row r="33" spans="1:18" ht="19.5" customHeight="1">
      <c r="A33" s="26"/>
      <c r="B33" s="72"/>
      <c r="C33" s="72"/>
      <c r="D33" s="72"/>
      <c r="E33" s="72"/>
      <c r="F33" s="72"/>
      <c r="G33" s="72"/>
      <c r="H33" s="72"/>
      <c r="I33" s="72"/>
      <c r="J33" s="11"/>
      <c r="K33" s="73">
        <f>IF(LEN(J33)&gt;0, VLOOKUP(D33, 제품[제품명]:제품[단가], 4, FALSE), 0)</f>
        <v>0</v>
      </c>
      <c r="L33" s="73"/>
      <c r="M33" s="74">
        <f>IF(LEN(J33)&gt;0, INDEX(분류!$E$2:$L$5, MATCH(J33, 분류!$C$2:$C$5, 1),  MATCH(B33, 분류!$E$1:$L$1, 0)), 0)</f>
        <v>0</v>
      </c>
      <c r="N33" s="74"/>
      <c r="O33" s="73">
        <f t="shared" si="0"/>
        <v>0</v>
      </c>
      <c r="P33" s="73"/>
      <c r="Q33" s="73"/>
      <c r="R33" s="27"/>
    </row>
    <row r="34" spans="1:18" ht="19.5" customHeight="1">
      <c r="A34" s="26"/>
      <c r="B34" s="72"/>
      <c r="C34" s="72"/>
      <c r="D34" s="72"/>
      <c r="E34" s="72"/>
      <c r="F34" s="72"/>
      <c r="G34" s="72"/>
      <c r="H34" s="72"/>
      <c r="I34" s="72"/>
      <c r="J34" s="11"/>
      <c r="K34" s="73">
        <f>IF(LEN(J34)&gt;0, VLOOKUP(D34, 제품[제품명]:제품[단가], 4, FALSE), 0)</f>
        <v>0</v>
      </c>
      <c r="L34" s="73"/>
      <c r="M34" s="74">
        <f>IF(LEN(J34)&gt;0, INDEX(분류!$E$2:$L$5, MATCH(J34, 분류!$C$2:$C$5, 1),  MATCH(B34, 분류!$E$1:$L$1, 0)), 0)</f>
        <v>0</v>
      </c>
      <c r="N34" s="74"/>
      <c r="O34" s="73">
        <f t="shared" si="0"/>
        <v>0</v>
      </c>
      <c r="P34" s="73"/>
      <c r="Q34" s="73"/>
      <c r="R34" s="27"/>
    </row>
    <row r="35" spans="1:18" ht="19.5" customHeight="1">
      <c r="A35" s="26"/>
      <c r="B35" s="72"/>
      <c r="C35" s="72"/>
      <c r="D35" s="72"/>
      <c r="E35" s="72"/>
      <c r="F35" s="72"/>
      <c r="G35" s="72"/>
      <c r="H35" s="72"/>
      <c r="I35" s="72"/>
      <c r="J35" s="11"/>
      <c r="K35" s="73">
        <f>IF(LEN(J35)&gt;0, VLOOKUP(D35, 제품[제품명]:제품[단가], 4, FALSE), 0)</f>
        <v>0</v>
      </c>
      <c r="L35" s="73"/>
      <c r="M35" s="74">
        <f>IF(LEN(J35)&gt;0, INDEX(분류!$E$2:$L$5, MATCH(J35, 분류!$C$2:$C$5, 1),  MATCH(B35, 분류!$E$1:$L$1, 0)), 0)</f>
        <v>0</v>
      </c>
      <c r="N35" s="74"/>
      <c r="O35" s="73">
        <f t="shared" si="0"/>
        <v>0</v>
      </c>
      <c r="P35" s="73"/>
      <c r="Q35" s="73"/>
      <c r="R35" s="27"/>
    </row>
    <row r="36" spans="1:18" ht="19.5" customHeight="1">
      <c r="A36" s="26"/>
      <c r="B36" s="72"/>
      <c r="C36" s="72"/>
      <c r="D36" s="72"/>
      <c r="E36" s="72"/>
      <c r="F36" s="72"/>
      <c r="G36" s="72"/>
      <c r="H36" s="72"/>
      <c r="I36" s="72"/>
      <c r="J36" s="11"/>
      <c r="K36" s="73">
        <f>IF(LEN(J36)&gt;0, VLOOKUP(D36, 제품[제품명]:제품[단가], 4, FALSE), 0)</f>
        <v>0</v>
      </c>
      <c r="L36" s="73"/>
      <c r="M36" s="74">
        <f>IF(LEN(J36)&gt;0, INDEX(분류!$E$2:$L$5, MATCH(J36, 분류!$C$2:$C$5, 1),  MATCH(B36, 분류!$E$1:$L$1, 0)), 0)</f>
        <v>0</v>
      </c>
      <c r="N36" s="74"/>
      <c r="O36" s="73">
        <f t="shared" si="0"/>
        <v>0</v>
      </c>
      <c r="P36" s="73"/>
      <c r="Q36" s="73"/>
      <c r="R36" s="27"/>
    </row>
    <row r="37" spans="1:18" ht="19.5" customHeight="1">
      <c r="A37" s="26"/>
      <c r="B37" s="72"/>
      <c r="C37" s="72"/>
      <c r="D37" s="72"/>
      <c r="E37" s="72"/>
      <c r="F37" s="72"/>
      <c r="G37" s="72"/>
      <c r="H37" s="72"/>
      <c r="I37" s="72"/>
      <c r="J37" s="11"/>
      <c r="K37" s="73">
        <f>IF(LEN(J37)&gt;0, VLOOKUP(D37, 제품[제품명]:제품[단가], 4, FALSE), 0)</f>
        <v>0</v>
      </c>
      <c r="L37" s="73"/>
      <c r="M37" s="74">
        <f>IF(LEN(J37)&gt;0, INDEX(분류!$E$2:$L$5, MATCH(J37, 분류!$C$2:$C$5, 1),  MATCH(B37, 분류!$E$1:$L$1, 0)), 0)</f>
        <v>0</v>
      </c>
      <c r="N37" s="74"/>
      <c r="O37" s="73">
        <f t="shared" si="0"/>
        <v>0</v>
      </c>
      <c r="P37" s="73"/>
      <c r="Q37" s="73"/>
      <c r="R37" s="27"/>
    </row>
    <row r="38" spans="1:18" ht="19.5" customHeight="1">
      <c r="A38" s="26"/>
      <c r="B38" s="72"/>
      <c r="C38" s="72"/>
      <c r="D38" s="72"/>
      <c r="E38" s="72"/>
      <c r="F38" s="72"/>
      <c r="G38" s="72"/>
      <c r="H38" s="72"/>
      <c r="I38" s="72"/>
      <c r="J38" s="11"/>
      <c r="K38" s="73">
        <f>IF(LEN(J38)&gt;0, VLOOKUP(D38, 제품[제품명]:제품[단가], 4, FALSE), 0)</f>
        <v>0</v>
      </c>
      <c r="L38" s="73"/>
      <c r="M38" s="74">
        <f>IF(LEN(J38)&gt;0, INDEX(분류!$E$2:$L$5, MATCH(J38, 분류!$C$2:$C$5, 1),  MATCH(B38, 분류!$E$1:$L$1, 0)), 0)</f>
        <v>0</v>
      </c>
      <c r="N38" s="74"/>
      <c r="O38" s="73">
        <f t="shared" si="0"/>
        <v>0</v>
      </c>
      <c r="P38" s="73"/>
      <c r="Q38" s="73"/>
      <c r="R38" s="27"/>
    </row>
    <row r="39" spans="1:18" ht="19.5" customHeight="1">
      <c r="A39" s="26"/>
      <c r="B39" s="72"/>
      <c r="C39" s="72"/>
      <c r="D39" s="72"/>
      <c r="E39" s="72"/>
      <c r="F39" s="72"/>
      <c r="G39" s="72"/>
      <c r="H39" s="72"/>
      <c r="I39" s="72"/>
      <c r="J39" s="11"/>
      <c r="K39" s="73">
        <f>IF(LEN(J39)&gt;0, VLOOKUP(D39, 제품[제품명]:제품[단가], 4, FALSE), 0)</f>
        <v>0</v>
      </c>
      <c r="L39" s="73"/>
      <c r="M39" s="74">
        <f>IF(LEN(J39)&gt;0, INDEX(분류!$E$2:$L$5, MATCH(J39, 분류!$C$2:$C$5, 1),  MATCH(B39, 분류!$E$1:$L$1, 0)), 0)</f>
        <v>0</v>
      </c>
      <c r="N39" s="74"/>
      <c r="O39" s="73">
        <f t="shared" si="0"/>
        <v>0</v>
      </c>
      <c r="P39" s="73"/>
      <c r="Q39" s="73"/>
      <c r="R39" s="27"/>
    </row>
    <row r="40" spans="1:18" ht="19.5" customHeight="1">
      <c r="A40" s="26"/>
      <c r="B40" s="72"/>
      <c r="C40" s="72"/>
      <c r="D40" s="72"/>
      <c r="E40" s="72"/>
      <c r="F40" s="72"/>
      <c r="G40" s="72"/>
      <c r="H40" s="72"/>
      <c r="I40" s="72"/>
      <c r="J40" s="11"/>
      <c r="K40" s="73">
        <f>IF(LEN(J40)&gt;0, VLOOKUP(D40, 제품[제품명]:제품[단가], 4, FALSE), 0)</f>
        <v>0</v>
      </c>
      <c r="L40" s="73"/>
      <c r="M40" s="74">
        <f>IF(LEN(J40)&gt;0, INDEX(분류!$E$2:$L$5, MATCH(J40, 분류!$C$2:$C$5, 1),  MATCH(B40, 분류!$E$1:$L$1, 0)), 0)</f>
        <v>0</v>
      </c>
      <c r="N40" s="74"/>
      <c r="O40" s="73">
        <f t="shared" si="0"/>
        <v>0</v>
      </c>
      <c r="P40" s="73"/>
      <c r="Q40" s="73"/>
      <c r="R40" s="27"/>
    </row>
    <row r="41" spans="1:18" ht="19.5" customHeight="1">
      <c r="A41" s="28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29"/>
    </row>
  </sheetData>
  <mergeCells count="139">
    <mergeCell ref="B40:C40"/>
    <mergeCell ref="D40:I40"/>
    <mergeCell ref="K40:L40"/>
    <mergeCell ref="M40:N40"/>
    <mergeCell ref="O40:Q40"/>
    <mergeCell ref="B38:C38"/>
    <mergeCell ref="D38:I38"/>
    <mergeCell ref="K38:L38"/>
    <mergeCell ref="M38:N38"/>
    <mergeCell ref="O38:Q38"/>
    <mergeCell ref="B39:C39"/>
    <mergeCell ref="D39:I39"/>
    <mergeCell ref="K39:L39"/>
    <mergeCell ref="M39:N39"/>
    <mergeCell ref="O39:Q39"/>
    <mergeCell ref="B36:C36"/>
    <mergeCell ref="D36:I36"/>
    <mergeCell ref="K36:L36"/>
    <mergeCell ref="M36:N36"/>
    <mergeCell ref="O36:Q36"/>
    <mergeCell ref="B37:C37"/>
    <mergeCell ref="D37:I37"/>
    <mergeCell ref="K37:L37"/>
    <mergeCell ref="M37:N37"/>
    <mergeCell ref="O37:Q37"/>
    <mergeCell ref="B34:C34"/>
    <mergeCell ref="D34:I34"/>
    <mergeCell ref="K34:L34"/>
    <mergeCell ref="M34:N34"/>
    <mergeCell ref="O34:Q34"/>
    <mergeCell ref="B35:C35"/>
    <mergeCell ref="D35:I35"/>
    <mergeCell ref="K35:L35"/>
    <mergeCell ref="M35:N35"/>
    <mergeCell ref="O35:Q35"/>
    <mergeCell ref="B32:C32"/>
    <mergeCell ref="D32:I32"/>
    <mergeCell ref="K32:L32"/>
    <mergeCell ref="M32:N32"/>
    <mergeCell ref="O32:Q32"/>
    <mergeCell ref="B33:C33"/>
    <mergeCell ref="D33:I33"/>
    <mergeCell ref="K33:L33"/>
    <mergeCell ref="M33:N33"/>
    <mergeCell ref="O33:Q33"/>
    <mergeCell ref="B30:C30"/>
    <mergeCell ref="D30:I30"/>
    <mergeCell ref="K30:L30"/>
    <mergeCell ref="M30:N30"/>
    <mergeCell ref="O30:Q30"/>
    <mergeCell ref="B31:C31"/>
    <mergeCell ref="D31:I31"/>
    <mergeCell ref="K31:L31"/>
    <mergeCell ref="M31:N31"/>
    <mergeCell ref="O31:Q31"/>
    <mergeCell ref="B28:C28"/>
    <mergeCell ref="D28:I28"/>
    <mergeCell ref="K28:L28"/>
    <mergeCell ref="M28:N28"/>
    <mergeCell ref="O28:Q28"/>
    <mergeCell ref="B29:C29"/>
    <mergeCell ref="D29:I29"/>
    <mergeCell ref="K29:L29"/>
    <mergeCell ref="M29:N29"/>
    <mergeCell ref="O29:Q29"/>
    <mergeCell ref="B26:C26"/>
    <mergeCell ref="D26:I26"/>
    <mergeCell ref="K26:L26"/>
    <mergeCell ref="M26:N26"/>
    <mergeCell ref="O26:Q26"/>
    <mergeCell ref="B27:C27"/>
    <mergeCell ref="D27:I27"/>
    <mergeCell ref="K27:L27"/>
    <mergeCell ref="M27:N27"/>
    <mergeCell ref="O27:Q27"/>
    <mergeCell ref="B24:C24"/>
    <mergeCell ref="D24:I24"/>
    <mergeCell ref="K24:L24"/>
    <mergeCell ref="M24:N24"/>
    <mergeCell ref="O24:Q24"/>
    <mergeCell ref="B25:C25"/>
    <mergeCell ref="D25:I25"/>
    <mergeCell ref="K25:L25"/>
    <mergeCell ref="M25:N25"/>
    <mergeCell ref="O25:Q25"/>
    <mergeCell ref="B22:C22"/>
    <mergeCell ref="D22:I22"/>
    <mergeCell ref="K22:L22"/>
    <mergeCell ref="M22:N22"/>
    <mergeCell ref="O22:Q22"/>
    <mergeCell ref="B23:C23"/>
    <mergeCell ref="D23:I23"/>
    <mergeCell ref="K23:L23"/>
    <mergeCell ref="M23:N23"/>
    <mergeCell ref="O23:Q23"/>
    <mergeCell ref="B19:Q19"/>
    <mergeCell ref="B20:C20"/>
    <mergeCell ref="D20:I20"/>
    <mergeCell ref="K20:L20"/>
    <mergeCell ref="M20:N20"/>
    <mergeCell ref="O20:Q20"/>
    <mergeCell ref="B21:C21"/>
    <mergeCell ref="D21:I21"/>
    <mergeCell ref="K21:L21"/>
    <mergeCell ref="M21:N21"/>
    <mergeCell ref="O21:Q21"/>
    <mergeCell ref="L9:O9"/>
    <mergeCell ref="L10:O10"/>
    <mergeCell ref="L11:O11"/>
    <mergeCell ref="L12:O12"/>
    <mergeCell ref="L13:O13"/>
    <mergeCell ref="B17:C17"/>
    <mergeCell ref="D17:E17"/>
    <mergeCell ref="G17:H17"/>
    <mergeCell ref="I17:K17"/>
    <mergeCell ref="J6:Q6"/>
    <mergeCell ref="J7:K7"/>
    <mergeCell ref="J8:K8"/>
    <mergeCell ref="J9:K9"/>
    <mergeCell ref="J10:K10"/>
    <mergeCell ref="J11:K11"/>
    <mergeCell ref="P7:Q13"/>
    <mergeCell ref="B12:C12"/>
    <mergeCell ref="B13:C13"/>
    <mergeCell ref="B10:C11"/>
    <mergeCell ref="D10:H11"/>
    <mergeCell ref="D7:H7"/>
    <mergeCell ref="D8:H8"/>
    <mergeCell ref="D9:H9"/>
    <mergeCell ref="D12:H12"/>
    <mergeCell ref="D13:H13"/>
    <mergeCell ref="B6:H6"/>
    <mergeCell ref="B7:C7"/>
    <mergeCell ref="B8:C8"/>
    <mergeCell ref="B9:C9"/>
    <mergeCell ref="J12:K12"/>
    <mergeCell ref="J13:K13"/>
    <mergeCell ref="L7:O7"/>
    <mergeCell ref="L8:O8"/>
  </mergeCells>
  <phoneticPr fontId="9" type="noConversion"/>
  <conditionalFormatting sqref="L8:O13">
    <cfRule type="cellIs" dxfId="2" priority="2" operator="equal">
      <formula>0</formula>
    </cfRule>
  </conditionalFormatting>
  <conditionalFormatting sqref="B21:Q40">
    <cfRule type="cellIs" dxfId="1" priority="1" operator="equal">
      <formula>0</formula>
    </cfRule>
  </conditionalFormatting>
  <dataValidations count="2">
    <dataValidation type="list" allowBlank="1" showInputMessage="1" showErrorMessage="1" sqref="B21:C40">
      <formula1>분류</formula1>
    </dataValidation>
    <dataValidation type="list" allowBlank="1" showInputMessage="1" showErrorMessage="1" sqref="L7">
      <formula1>고객명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ion Button 1">
              <controlPr defaultSize="0" autoFill="0" autoLine="0" autoPict="0" macro="[0]!의뢰자처리">
                <anchor moveWithCells="1">
                  <from>
                    <xdr:col>15</xdr:col>
                    <xdr:colOff>171450</xdr:colOff>
                    <xdr:row>6</xdr:row>
                    <xdr:rowOff>219075</xdr:rowOff>
                  </from>
                  <to>
                    <xdr:col>16</xdr:col>
                    <xdr:colOff>323850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 macro="[0]!의뢰자처리">
                <anchor moveWithCells="1">
                  <from>
                    <xdr:col>15</xdr:col>
                    <xdr:colOff>180975</xdr:colOff>
                    <xdr:row>8</xdr:row>
                    <xdr:rowOff>66675</xdr:rowOff>
                  </from>
                  <to>
                    <xdr:col>16</xdr:col>
                    <xdr:colOff>333375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등록버튼">
              <controlPr defaultSize="0" print="0" autoFill="0" autoPict="0" macro="[0]!신규고객등록">
                <anchor moveWithCells="1" sizeWithCells="1">
                  <from>
                    <xdr:col>15</xdr:col>
                    <xdr:colOff>161925</xdr:colOff>
                    <xdr:row>11</xdr:row>
                    <xdr:rowOff>9525</xdr:rowOff>
                  </from>
                  <to>
                    <xdr:col>16</xdr:col>
                    <xdr:colOff>247650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17</xdr:col>
                    <xdr:colOff>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새견적서쓰기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Button 17">
              <controlPr defaultSize="0" print="0" autoFill="0" autoPict="0" macro="[0]!견적서보기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Button 18">
              <controlPr defaultSize="0" print="0" autoFill="0" autoPict="0" macro="[0]!견적서인쇄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R76"/>
  <sheetViews>
    <sheetView zoomScale="90" zoomScaleNormal="90" workbookViewId="0">
      <selection activeCell="E53" sqref="E53:I54"/>
    </sheetView>
  </sheetViews>
  <sheetFormatPr defaultColWidth="4.25" defaultRowHeight="16.5"/>
  <cols>
    <col min="1" max="1" width="1.375" style="37" customWidth="1"/>
    <col min="2" max="17" width="5" style="37" customWidth="1"/>
    <col min="18" max="18" width="1.375" style="37" customWidth="1"/>
    <col min="19" max="16384" width="4.25" style="37"/>
  </cols>
  <sheetData>
    <row r="1" spans="1:18" ht="9.75" customHeight="1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</row>
    <row r="2" spans="1:18" ht="19.5" customHeight="1">
      <c r="A2" s="38"/>
      <c r="B2" s="146" t="s">
        <v>311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8"/>
      <c r="R2" s="39"/>
    </row>
    <row r="3" spans="1:18" ht="19.5" customHeight="1">
      <c r="A3" s="38"/>
      <c r="B3" s="149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1"/>
      <c r="R3" s="39"/>
    </row>
    <row r="4" spans="1:18" ht="19.5" customHeight="1">
      <c r="A4" s="38"/>
      <c r="B4" s="149"/>
      <c r="C4" s="150"/>
      <c r="D4" s="150"/>
      <c r="E4" s="150"/>
      <c r="F4" s="150"/>
      <c r="G4" s="150"/>
      <c r="H4" s="150"/>
      <c r="I4" s="150"/>
      <c r="J4" s="152"/>
      <c r="K4" s="152"/>
      <c r="L4" s="152"/>
      <c r="M4" s="152"/>
      <c r="N4" s="152"/>
      <c r="O4" s="152"/>
      <c r="P4" s="152"/>
      <c r="Q4" s="153"/>
      <c r="R4" s="39"/>
    </row>
    <row r="5" spans="1:18" ht="19.5" customHeight="1">
      <c r="A5" s="38"/>
      <c r="B5" s="154" t="str">
        <f ca="1">"발행일 : " &amp; TEXT(TODAY(), "yyyy년 m월 d일")</f>
        <v>발행일 : 2011년 4월 10일</v>
      </c>
      <c r="C5" s="155"/>
      <c r="D5" s="155"/>
      <c r="E5" s="155"/>
      <c r="F5" s="155"/>
      <c r="G5" s="155"/>
      <c r="H5" s="155"/>
      <c r="I5" s="156"/>
      <c r="J5" s="160" t="s">
        <v>312</v>
      </c>
      <c r="K5" s="163" t="s">
        <v>313</v>
      </c>
      <c r="L5" s="164"/>
      <c r="M5" s="165" t="str">
        <f>견적서관리!D7</f>
        <v>엑셀..하루에 하나씩</v>
      </c>
      <c r="N5" s="165"/>
      <c r="O5" s="165"/>
      <c r="P5" s="165"/>
      <c r="Q5" s="166"/>
      <c r="R5" s="39"/>
    </row>
    <row r="6" spans="1:18" ht="19.5" customHeight="1">
      <c r="A6" s="38"/>
      <c r="B6" s="157"/>
      <c r="C6" s="158"/>
      <c r="D6" s="158"/>
      <c r="E6" s="158"/>
      <c r="F6" s="158"/>
      <c r="G6" s="158"/>
      <c r="H6" s="158"/>
      <c r="I6" s="159"/>
      <c r="J6" s="161"/>
      <c r="K6" s="167" t="s">
        <v>314</v>
      </c>
      <c r="L6" s="168"/>
      <c r="M6" s="169" t="str">
        <f>견적서관리!D8</f>
        <v>123-12-12345</v>
      </c>
      <c r="N6" s="169"/>
      <c r="O6" s="169"/>
      <c r="P6" s="169"/>
      <c r="Q6" s="170"/>
      <c r="R6" s="39"/>
    </row>
    <row r="7" spans="1:18" ht="19.5" customHeight="1">
      <c r="A7" s="38"/>
      <c r="B7" s="171" t="s">
        <v>315</v>
      </c>
      <c r="C7" s="172"/>
      <c r="D7" s="172"/>
      <c r="E7" s="172"/>
      <c r="F7" s="172"/>
      <c r="G7" s="172"/>
      <c r="H7" s="172"/>
      <c r="I7" s="173"/>
      <c r="J7" s="161"/>
      <c r="K7" s="167" t="s">
        <v>316</v>
      </c>
      <c r="L7" s="168"/>
      <c r="M7" s="169" t="str">
        <f>견적서관리!D9</f>
        <v>최준선</v>
      </c>
      <c r="N7" s="169"/>
      <c r="O7" s="169"/>
      <c r="P7" s="169"/>
      <c r="Q7" s="170"/>
      <c r="R7" s="39"/>
    </row>
    <row r="8" spans="1:18" ht="19.5" customHeight="1">
      <c r="A8" s="38"/>
      <c r="B8" s="154" t="str">
        <f>의뢰자</f>
        <v>삼화 상사 ㈜</v>
      </c>
      <c r="C8" s="155"/>
      <c r="D8" s="155"/>
      <c r="E8" s="155"/>
      <c r="F8" s="155"/>
      <c r="G8" s="155"/>
      <c r="H8" s="155" t="s">
        <v>317</v>
      </c>
      <c r="I8" s="156"/>
      <c r="J8" s="161"/>
      <c r="K8" s="167" t="s">
        <v>318</v>
      </c>
      <c r="L8" s="168"/>
      <c r="M8" s="169" t="str">
        <f>견적서관리!D10</f>
        <v>서울 강남구 양재동</v>
      </c>
      <c r="N8" s="169"/>
      <c r="O8" s="169"/>
      <c r="P8" s="169"/>
      <c r="Q8" s="170"/>
      <c r="R8" s="39"/>
    </row>
    <row r="9" spans="1:18" ht="19.5" customHeight="1">
      <c r="A9" s="38"/>
      <c r="B9" s="174"/>
      <c r="C9" s="175"/>
      <c r="D9" s="175"/>
      <c r="E9" s="175"/>
      <c r="F9" s="175"/>
      <c r="G9" s="175"/>
      <c r="H9" s="175"/>
      <c r="I9" s="176"/>
      <c r="J9" s="161"/>
      <c r="K9" s="167"/>
      <c r="L9" s="168"/>
      <c r="M9" s="169"/>
      <c r="N9" s="169"/>
      <c r="O9" s="169"/>
      <c r="P9" s="169"/>
      <c r="Q9" s="170"/>
      <c r="R9" s="39"/>
    </row>
    <row r="10" spans="1:18" ht="19.5" customHeight="1">
      <c r="A10" s="38"/>
      <c r="B10" s="154" t="s">
        <v>319</v>
      </c>
      <c r="C10" s="155"/>
      <c r="D10" s="155"/>
      <c r="E10" s="155"/>
      <c r="F10" s="155"/>
      <c r="G10" s="155"/>
      <c r="H10" s="155"/>
      <c r="I10" s="156"/>
      <c r="J10" s="161"/>
      <c r="K10" s="167" t="s">
        <v>320</v>
      </c>
      <c r="L10" s="168"/>
      <c r="M10" s="169">
        <f>견적서관리!D12</f>
        <v>0</v>
      </c>
      <c r="N10" s="169"/>
      <c r="O10" s="169"/>
      <c r="P10" s="169"/>
      <c r="Q10" s="170"/>
      <c r="R10" s="39"/>
    </row>
    <row r="11" spans="1:18" ht="19.5" customHeight="1">
      <c r="A11" s="38"/>
      <c r="B11" s="174"/>
      <c r="C11" s="175"/>
      <c r="D11" s="175"/>
      <c r="E11" s="175"/>
      <c r="F11" s="175"/>
      <c r="G11" s="175"/>
      <c r="H11" s="175"/>
      <c r="I11" s="176"/>
      <c r="J11" s="162"/>
      <c r="K11" s="177" t="s">
        <v>321</v>
      </c>
      <c r="L11" s="178"/>
      <c r="M11" s="179">
        <f>견적서관리!D13</f>
        <v>0</v>
      </c>
      <c r="N11" s="179"/>
      <c r="O11" s="179"/>
      <c r="P11" s="179"/>
      <c r="Q11" s="180"/>
      <c r="R11" s="39"/>
    </row>
    <row r="12" spans="1:18" ht="19.5" customHeight="1">
      <c r="A12" s="38"/>
      <c r="B12" s="124" t="s">
        <v>322</v>
      </c>
      <c r="C12" s="125"/>
      <c r="D12" s="125"/>
      <c r="E12" s="126"/>
      <c r="F12" s="130">
        <f>SUM(M36:Q37)</f>
        <v>2389900</v>
      </c>
      <c r="G12" s="131"/>
      <c r="H12" s="131"/>
      <c r="I12" s="131"/>
      <c r="J12" s="131"/>
      <c r="K12" s="131"/>
      <c r="L12" s="131"/>
      <c r="M12" s="131"/>
      <c r="N12" s="134">
        <f>SUM(M36:Q37)</f>
        <v>2389900</v>
      </c>
      <c r="O12" s="134"/>
      <c r="P12" s="134"/>
      <c r="Q12" s="135"/>
      <c r="R12" s="39"/>
    </row>
    <row r="13" spans="1:18" ht="19.5" customHeight="1">
      <c r="A13" s="38"/>
      <c r="B13" s="127"/>
      <c r="C13" s="128"/>
      <c r="D13" s="128"/>
      <c r="E13" s="129"/>
      <c r="F13" s="132"/>
      <c r="G13" s="133"/>
      <c r="H13" s="133"/>
      <c r="I13" s="133"/>
      <c r="J13" s="133"/>
      <c r="K13" s="133"/>
      <c r="L13" s="133"/>
      <c r="M13" s="133"/>
      <c r="N13" s="136"/>
      <c r="O13" s="136"/>
      <c r="P13" s="136"/>
      <c r="Q13" s="137"/>
      <c r="R13" s="39"/>
    </row>
    <row r="14" spans="1:18" ht="19.5" customHeight="1">
      <c r="A14" s="38"/>
      <c r="B14" s="138" t="s">
        <v>323</v>
      </c>
      <c r="C14" s="140" t="s">
        <v>324</v>
      </c>
      <c r="D14" s="141"/>
      <c r="E14" s="141"/>
      <c r="F14" s="141"/>
      <c r="G14" s="142"/>
      <c r="H14" s="140" t="s">
        <v>325</v>
      </c>
      <c r="I14" s="142"/>
      <c r="J14" s="138" t="s">
        <v>326</v>
      </c>
      <c r="K14" s="140" t="s">
        <v>327</v>
      </c>
      <c r="L14" s="142"/>
      <c r="M14" s="140" t="s">
        <v>328</v>
      </c>
      <c r="N14" s="141"/>
      <c r="O14" s="142"/>
      <c r="P14" s="140" t="s">
        <v>329</v>
      </c>
      <c r="Q14" s="142"/>
      <c r="R14" s="39"/>
    </row>
    <row r="15" spans="1:18" ht="19.5" customHeight="1">
      <c r="A15" s="38"/>
      <c r="B15" s="139"/>
      <c r="C15" s="143"/>
      <c r="D15" s="144"/>
      <c r="E15" s="144"/>
      <c r="F15" s="144"/>
      <c r="G15" s="145"/>
      <c r="H15" s="143"/>
      <c r="I15" s="145"/>
      <c r="J15" s="139"/>
      <c r="K15" s="143"/>
      <c r="L15" s="145"/>
      <c r="M15" s="143"/>
      <c r="N15" s="144"/>
      <c r="O15" s="145"/>
      <c r="P15" s="143"/>
      <c r="Q15" s="145"/>
      <c r="R15" s="39"/>
    </row>
    <row r="16" spans="1:18" ht="19.5" customHeight="1">
      <c r="A16" s="38"/>
      <c r="B16" s="40">
        <f>IF(C16&lt;&gt;0, COUNTIF($C$16:C16, "&lt;&gt;0"), "")</f>
        <v>1</v>
      </c>
      <c r="C16" s="120" t="str">
        <f>견적서관리!D21</f>
        <v>우미 코코넛 쿠키</v>
      </c>
      <c r="D16" s="120"/>
      <c r="E16" s="120"/>
      <c r="F16" s="120"/>
      <c r="G16" s="120"/>
      <c r="H16" s="121">
        <f>견적서관리!K21</f>
        <v>31000</v>
      </c>
      <c r="I16" s="121"/>
      <c r="J16" s="63">
        <f>견적서관리!J21</f>
        <v>5</v>
      </c>
      <c r="K16" s="122">
        <f>견적서관리!M21</f>
        <v>0.02</v>
      </c>
      <c r="L16" s="122"/>
      <c r="M16" s="121">
        <f>IF(chk부가세, 견적서관리!O21, 견적서관리!O21-P16)</f>
        <v>138091</v>
      </c>
      <c r="N16" s="121"/>
      <c r="O16" s="121"/>
      <c r="P16" s="121">
        <f>IF(chk부가세, 견적서관리!O21*0.1, INT(견적서관리!O21/11))</f>
        <v>13809</v>
      </c>
      <c r="Q16" s="123"/>
      <c r="R16" s="39"/>
    </row>
    <row r="17" spans="1:18" ht="19.5" customHeight="1">
      <c r="A17" s="38"/>
      <c r="B17" s="41">
        <f>IF(C17&lt;&gt;0, COUNTIF($C$16:C17, "&lt;&gt;0"), "")</f>
        <v>2</v>
      </c>
      <c r="C17" s="113" t="str">
        <f>견적서관리!D22</f>
        <v>한라 연유</v>
      </c>
      <c r="D17" s="113"/>
      <c r="E17" s="113"/>
      <c r="F17" s="113"/>
      <c r="G17" s="113"/>
      <c r="H17" s="114">
        <f>견적서관리!K22</f>
        <v>21000</v>
      </c>
      <c r="I17" s="114"/>
      <c r="J17" s="64">
        <f>견적서관리!J22</f>
        <v>15</v>
      </c>
      <c r="K17" s="115">
        <f>견적서관리!M22</f>
        <v>0.02</v>
      </c>
      <c r="L17" s="116"/>
      <c r="M17" s="114">
        <f>IF(chk부가세, 견적서관리!O22, 견적서관리!O22-P17)</f>
        <v>280637</v>
      </c>
      <c r="N17" s="114"/>
      <c r="O17" s="114"/>
      <c r="P17" s="114">
        <f>IF(chk부가세, 견적서관리!O22*0.1, INT(견적서관리!O22/11))</f>
        <v>28063</v>
      </c>
      <c r="Q17" s="117"/>
      <c r="R17" s="39"/>
    </row>
    <row r="18" spans="1:18" ht="19.5" customHeight="1">
      <c r="A18" s="38"/>
      <c r="B18" s="41">
        <f>IF(C18&lt;&gt;0, COUNTIF($C$16:C18, "&lt;&gt;0"), "")</f>
        <v>3</v>
      </c>
      <c r="C18" s="113" t="str">
        <f>견적서관리!D23</f>
        <v>루이지애나 특산 후추</v>
      </c>
      <c r="D18" s="113"/>
      <c r="E18" s="113"/>
      <c r="F18" s="113"/>
      <c r="G18" s="113"/>
      <c r="H18" s="114">
        <f>견적서관리!K23</f>
        <v>21000</v>
      </c>
      <c r="I18" s="114"/>
      <c r="J18" s="64">
        <f>견적서관리!J23</f>
        <v>20</v>
      </c>
      <c r="K18" s="115">
        <f>견적서관리!M23</f>
        <v>2.5000000000000001E-2</v>
      </c>
      <c r="L18" s="116"/>
      <c r="M18" s="114">
        <f>IF(chk부가세, 견적서관리!O23, 견적서관리!O23-P18)</f>
        <v>372273</v>
      </c>
      <c r="N18" s="114"/>
      <c r="O18" s="114"/>
      <c r="P18" s="114">
        <f>IF(chk부가세, 견적서관리!O23*0.1, INT(견적서관리!O23/11))</f>
        <v>37227</v>
      </c>
      <c r="Q18" s="117"/>
      <c r="R18" s="39"/>
    </row>
    <row r="19" spans="1:18" ht="19.5" customHeight="1">
      <c r="A19" s="38"/>
      <c r="B19" s="41">
        <f>IF(C19&lt;&gt;0, COUNTIF($C$16:C19, "&lt;&gt;0"), "")</f>
        <v>4</v>
      </c>
      <c r="C19" s="113" t="str">
        <f>견적서관리!D24</f>
        <v>원양 순 상어알</v>
      </c>
      <c r="D19" s="113"/>
      <c r="E19" s="113"/>
      <c r="F19" s="113"/>
      <c r="G19" s="113"/>
      <c r="H19" s="114">
        <f>견적서관리!K24</f>
        <v>35000</v>
      </c>
      <c r="I19" s="114"/>
      <c r="J19" s="64">
        <f>견적서관리!J24</f>
        <v>45</v>
      </c>
      <c r="K19" s="115">
        <f>견적서관리!M24</f>
        <v>3.5000000000000003E-2</v>
      </c>
      <c r="L19" s="116"/>
      <c r="M19" s="114">
        <f>IF(chk부가세, 견적서관리!O24, 견적서관리!O24-P19)</f>
        <v>1381637</v>
      </c>
      <c r="N19" s="114"/>
      <c r="O19" s="114"/>
      <c r="P19" s="114">
        <f>IF(chk부가세, 견적서관리!O24*0.1, INT(견적서관리!O24/11))</f>
        <v>138163</v>
      </c>
      <c r="Q19" s="117"/>
      <c r="R19" s="39"/>
    </row>
    <row r="20" spans="1:18" ht="19.5" customHeight="1">
      <c r="A20" s="38"/>
      <c r="B20" s="41" t="str">
        <f>IF(C20&lt;&gt;0, COUNTIF($C$16:C20, "&lt;&gt;0"), "")</f>
        <v/>
      </c>
      <c r="C20" s="113">
        <f>견적서관리!D25</f>
        <v>0</v>
      </c>
      <c r="D20" s="113"/>
      <c r="E20" s="113"/>
      <c r="F20" s="113"/>
      <c r="G20" s="113"/>
      <c r="H20" s="114">
        <f>견적서관리!K25</f>
        <v>0</v>
      </c>
      <c r="I20" s="114"/>
      <c r="J20" s="64">
        <f>견적서관리!J25</f>
        <v>0</v>
      </c>
      <c r="K20" s="115">
        <f>견적서관리!M25</f>
        <v>0</v>
      </c>
      <c r="L20" s="116"/>
      <c r="M20" s="114">
        <f>IF(chk부가세, 견적서관리!O25, 견적서관리!O25-P20)</f>
        <v>0</v>
      </c>
      <c r="N20" s="114"/>
      <c r="O20" s="114"/>
      <c r="P20" s="114">
        <f>IF(chk부가세, 견적서관리!O25*0.1, INT(견적서관리!O25/11))</f>
        <v>0</v>
      </c>
      <c r="Q20" s="117"/>
      <c r="R20" s="39"/>
    </row>
    <row r="21" spans="1:18" ht="19.5" customHeight="1">
      <c r="A21" s="38"/>
      <c r="B21" s="41" t="str">
        <f>IF(C21&lt;&gt;0, COUNTIF($C$16:C21, "&lt;&gt;0"), "")</f>
        <v/>
      </c>
      <c r="C21" s="113">
        <f>견적서관리!D26</f>
        <v>0</v>
      </c>
      <c r="D21" s="113"/>
      <c r="E21" s="113"/>
      <c r="F21" s="113"/>
      <c r="G21" s="113"/>
      <c r="H21" s="114">
        <f>견적서관리!K26</f>
        <v>0</v>
      </c>
      <c r="I21" s="114"/>
      <c r="J21" s="64">
        <f>견적서관리!J26</f>
        <v>0</v>
      </c>
      <c r="K21" s="115">
        <f>견적서관리!M26</f>
        <v>0</v>
      </c>
      <c r="L21" s="116"/>
      <c r="M21" s="114">
        <f>IF(chk부가세, 견적서관리!O26, 견적서관리!O26-P21)</f>
        <v>0</v>
      </c>
      <c r="N21" s="114"/>
      <c r="O21" s="114"/>
      <c r="P21" s="114">
        <f>IF(chk부가세, 견적서관리!O26*0.1, INT(견적서관리!O26/11))</f>
        <v>0</v>
      </c>
      <c r="Q21" s="117"/>
      <c r="R21" s="39"/>
    </row>
    <row r="22" spans="1:18" ht="19.5" customHeight="1">
      <c r="A22" s="38"/>
      <c r="B22" s="41" t="str">
        <f>IF(C22&lt;&gt;0, COUNTIF($C$16:C22, "&lt;&gt;0"), "")</f>
        <v/>
      </c>
      <c r="C22" s="113">
        <f>견적서관리!D27</f>
        <v>0</v>
      </c>
      <c r="D22" s="113"/>
      <c r="E22" s="113"/>
      <c r="F22" s="113"/>
      <c r="G22" s="113"/>
      <c r="H22" s="114">
        <f>견적서관리!K27</f>
        <v>0</v>
      </c>
      <c r="I22" s="114"/>
      <c r="J22" s="64">
        <f>견적서관리!J27</f>
        <v>0</v>
      </c>
      <c r="K22" s="115">
        <f>견적서관리!M27</f>
        <v>0</v>
      </c>
      <c r="L22" s="116"/>
      <c r="M22" s="114">
        <f>IF(chk부가세, 견적서관리!O27, 견적서관리!O27-P22)</f>
        <v>0</v>
      </c>
      <c r="N22" s="114"/>
      <c r="O22" s="114"/>
      <c r="P22" s="114">
        <f>IF(chk부가세, 견적서관리!O27*0.1, INT(견적서관리!O27/11))</f>
        <v>0</v>
      </c>
      <c r="Q22" s="117"/>
      <c r="R22" s="39"/>
    </row>
    <row r="23" spans="1:18" ht="19.5" customHeight="1">
      <c r="A23" s="38"/>
      <c r="B23" s="41" t="str">
        <f>IF(C23&lt;&gt;0, COUNTIF($C$16:C23, "&lt;&gt;0"), "")</f>
        <v/>
      </c>
      <c r="C23" s="113">
        <f>견적서관리!D28</f>
        <v>0</v>
      </c>
      <c r="D23" s="113"/>
      <c r="E23" s="113"/>
      <c r="F23" s="113"/>
      <c r="G23" s="113"/>
      <c r="H23" s="114">
        <f>견적서관리!K28</f>
        <v>0</v>
      </c>
      <c r="I23" s="114"/>
      <c r="J23" s="64">
        <f>견적서관리!J28</f>
        <v>0</v>
      </c>
      <c r="K23" s="115">
        <f>견적서관리!M28</f>
        <v>0</v>
      </c>
      <c r="L23" s="116"/>
      <c r="M23" s="114">
        <f>IF(chk부가세, 견적서관리!O28, 견적서관리!O28-P23)</f>
        <v>0</v>
      </c>
      <c r="N23" s="114"/>
      <c r="O23" s="114"/>
      <c r="P23" s="114">
        <f>IF(chk부가세, 견적서관리!O28*0.1, INT(견적서관리!O28/11))</f>
        <v>0</v>
      </c>
      <c r="Q23" s="117"/>
      <c r="R23" s="39"/>
    </row>
    <row r="24" spans="1:18" ht="19.5" customHeight="1">
      <c r="A24" s="38"/>
      <c r="B24" s="41" t="str">
        <f>IF(C24&lt;&gt;0, COUNTIF($C$16:C24, "&lt;&gt;0"), "")</f>
        <v/>
      </c>
      <c r="C24" s="113">
        <f>견적서관리!D29</f>
        <v>0</v>
      </c>
      <c r="D24" s="113"/>
      <c r="E24" s="113"/>
      <c r="F24" s="113"/>
      <c r="G24" s="113"/>
      <c r="H24" s="114">
        <f>견적서관리!K29</f>
        <v>0</v>
      </c>
      <c r="I24" s="114"/>
      <c r="J24" s="64">
        <f>견적서관리!J29</f>
        <v>0</v>
      </c>
      <c r="K24" s="115">
        <f>견적서관리!M29</f>
        <v>0</v>
      </c>
      <c r="L24" s="116"/>
      <c r="M24" s="114">
        <f>IF(chk부가세, 견적서관리!O29, 견적서관리!O29-P24)</f>
        <v>0</v>
      </c>
      <c r="N24" s="114"/>
      <c r="O24" s="114"/>
      <c r="P24" s="114">
        <f>IF(chk부가세, 견적서관리!O29*0.1, INT(견적서관리!O29/11))</f>
        <v>0</v>
      </c>
      <c r="Q24" s="117"/>
      <c r="R24" s="39"/>
    </row>
    <row r="25" spans="1:18" ht="19.5" customHeight="1">
      <c r="A25" s="38"/>
      <c r="B25" s="41" t="str">
        <f>IF(C25&lt;&gt;0, COUNTIF($C$16:C25, "&lt;&gt;0"), "")</f>
        <v/>
      </c>
      <c r="C25" s="113">
        <f>견적서관리!D30</f>
        <v>0</v>
      </c>
      <c r="D25" s="113"/>
      <c r="E25" s="113"/>
      <c r="F25" s="113"/>
      <c r="G25" s="113"/>
      <c r="H25" s="114">
        <f>견적서관리!K30</f>
        <v>0</v>
      </c>
      <c r="I25" s="114"/>
      <c r="J25" s="64">
        <f>견적서관리!J30</f>
        <v>0</v>
      </c>
      <c r="K25" s="115">
        <f>견적서관리!M30</f>
        <v>0</v>
      </c>
      <c r="L25" s="116"/>
      <c r="M25" s="114">
        <f>IF(chk부가세, 견적서관리!O30, 견적서관리!O30-P25)</f>
        <v>0</v>
      </c>
      <c r="N25" s="114"/>
      <c r="O25" s="114"/>
      <c r="P25" s="114">
        <f>IF(chk부가세, 견적서관리!O30*0.1, INT(견적서관리!O30/11))</f>
        <v>0</v>
      </c>
      <c r="Q25" s="117"/>
      <c r="R25" s="39"/>
    </row>
    <row r="26" spans="1:18" ht="19.5" customHeight="1">
      <c r="A26" s="38"/>
      <c r="B26" s="41" t="str">
        <f>IF(C26&lt;&gt;0, COUNTIF($C$16:C26, "&lt;&gt;0"), "")</f>
        <v/>
      </c>
      <c r="C26" s="113">
        <f>견적서관리!D31</f>
        <v>0</v>
      </c>
      <c r="D26" s="113"/>
      <c r="E26" s="113"/>
      <c r="F26" s="113"/>
      <c r="G26" s="113"/>
      <c r="H26" s="114">
        <f>견적서관리!K31</f>
        <v>0</v>
      </c>
      <c r="I26" s="114"/>
      <c r="J26" s="64">
        <f>견적서관리!J31</f>
        <v>0</v>
      </c>
      <c r="K26" s="115">
        <f>견적서관리!M31</f>
        <v>0</v>
      </c>
      <c r="L26" s="116"/>
      <c r="M26" s="114">
        <f>IF(chk부가세, 견적서관리!O31, 견적서관리!O31-P26)</f>
        <v>0</v>
      </c>
      <c r="N26" s="114"/>
      <c r="O26" s="114"/>
      <c r="P26" s="114">
        <f>IF(chk부가세, 견적서관리!O31*0.1, INT(견적서관리!O31/11))</f>
        <v>0</v>
      </c>
      <c r="Q26" s="117"/>
      <c r="R26" s="39"/>
    </row>
    <row r="27" spans="1:18" ht="19.5" customHeight="1">
      <c r="A27" s="38"/>
      <c r="B27" s="41" t="str">
        <f>IF(C27&lt;&gt;0, COUNTIF($C$16:C27, "&lt;&gt;0"), "")</f>
        <v/>
      </c>
      <c r="C27" s="113">
        <f>견적서관리!D32</f>
        <v>0</v>
      </c>
      <c r="D27" s="113"/>
      <c r="E27" s="113"/>
      <c r="F27" s="113"/>
      <c r="G27" s="113"/>
      <c r="H27" s="114">
        <f>견적서관리!K32</f>
        <v>0</v>
      </c>
      <c r="I27" s="114"/>
      <c r="J27" s="64">
        <f>견적서관리!J32</f>
        <v>0</v>
      </c>
      <c r="K27" s="115">
        <f>견적서관리!M32</f>
        <v>0</v>
      </c>
      <c r="L27" s="116"/>
      <c r="M27" s="114">
        <f>IF(chk부가세, 견적서관리!O32, 견적서관리!O32-P27)</f>
        <v>0</v>
      </c>
      <c r="N27" s="114"/>
      <c r="O27" s="114"/>
      <c r="P27" s="114">
        <f>IF(chk부가세, 견적서관리!O32*0.1, INT(견적서관리!O32/11))</f>
        <v>0</v>
      </c>
      <c r="Q27" s="117"/>
      <c r="R27" s="39"/>
    </row>
    <row r="28" spans="1:18" ht="19.5" customHeight="1">
      <c r="A28" s="38"/>
      <c r="B28" s="41" t="str">
        <f>IF(C28&lt;&gt;0, COUNTIF($C$16:C28, "&lt;&gt;0"), "")</f>
        <v/>
      </c>
      <c r="C28" s="113">
        <f>견적서관리!D33</f>
        <v>0</v>
      </c>
      <c r="D28" s="113"/>
      <c r="E28" s="113"/>
      <c r="F28" s="113"/>
      <c r="G28" s="113"/>
      <c r="H28" s="114">
        <f>견적서관리!K33</f>
        <v>0</v>
      </c>
      <c r="I28" s="114"/>
      <c r="J28" s="64">
        <f>견적서관리!J33</f>
        <v>0</v>
      </c>
      <c r="K28" s="115">
        <f>견적서관리!M33</f>
        <v>0</v>
      </c>
      <c r="L28" s="116"/>
      <c r="M28" s="114">
        <f>IF(chk부가세, 견적서관리!O33, 견적서관리!O33-P28)</f>
        <v>0</v>
      </c>
      <c r="N28" s="114"/>
      <c r="O28" s="114"/>
      <c r="P28" s="114">
        <f>IF(chk부가세, 견적서관리!O33*0.1, INT(견적서관리!O33/11))</f>
        <v>0</v>
      </c>
      <c r="Q28" s="117"/>
      <c r="R28" s="39"/>
    </row>
    <row r="29" spans="1:18" ht="19.5" customHeight="1">
      <c r="A29" s="38"/>
      <c r="B29" s="41" t="str">
        <f>IF(C29&lt;&gt;0, COUNTIF($C$16:C29, "&lt;&gt;0"), "")</f>
        <v/>
      </c>
      <c r="C29" s="113">
        <f>견적서관리!D34</f>
        <v>0</v>
      </c>
      <c r="D29" s="113"/>
      <c r="E29" s="113"/>
      <c r="F29" s="113"/>
      <c r="G29" s="113"/>
      <c r="H29" s="114">
        <f>견적서관리!K34</f>
        <v>0</v>
      </c>
      <c r="I29" s="114"/>
      <c r="J29" s="64">
        <f>견적서관리!J34</f>
        <v>0</v>
      </c>
      <c r="K29" s="115">
        <f>견적서관리!M34</f>
        <v>0</v>
      </c>
      <c r="L29" s="116"/>
      <c r="M29" s="114">
        <f>IF(chk부가세, 견적서관리!O34, 견적서관리!O34-P29)</f>
        <v>0</v>
      </c>
      <c r="N29" s="114"/>
      <c r="O29" s="114"/>
      <c r="P29" s="114">
        <f>IF(chk부가세, 견적서관리!O34*0.1, INT(견적서관리!O34/11))</f>
        <v>0</v>
      </c>
      <c r="Q29" s="117"/>
      <c r="R29" s="39"/>
    </row>
    <row r="30" spans="1:18" ht="19.5" customHeight="1">
      <c r="A30" s="38"/>
      <c r="B30" s="41" t="str">
        <f>IF(C30&lt;&gt;0, COUNTIF($C$16:C30, "&lt;&gt;0"), "")</f>
        <v/>
      </c>
      <c r="C30" s="113">
        <f>견적서관리!D35</f>
        <v>0</v>
      </c>
      <c r="D30" s="113"/>
      <c r="E30" s="113"/>
      <c r="F30" s="113"/>
      <c r="G30" s="113"/>
      <c r="H30" s="114">
        <f>견적서관리!K35</f>
        <v>0</v>
      </c>
      <c r="I30" s="114"/>
      <c r="J30" s="64">
        <f>견적서관리!J35</f>
        <v>0</v>
      </c>
      <c r="K30" s="115">
        <f>견적서관리!M35</f>
        <v>0</v>
      </c>
      <c r="L30" s="116"/>
      <c r="M30" s="114">
        <f>IF(chk부가세, 견적서관리!O35, 견적서관리!O35-P30)</f>
        <v>0</v>
      </c>
      <c r="N30" s="114"/>
      <c r="O30" s="114"/>
      <c r="P30" s="114">
        <f>IF(chk부가세, 견적서관리!O35*0.1, INT(견적서관리!O35/11))</f>
        <v>0</v>
      </c>
      <c r="Q30" s="117"/>
      <c r="R30" s="39"/>
    </row>
    <row r="31" spans="1:18" ht="19.5" customHeight="1">
      <c r="A31" s="38"/>
      <c r="B31" s="41" t="str">
        <f>IF(C31&lt;&gt;0, COUNTIF($C$16:C31, "&lt;&gt;0"), "")</f>
        <v/>
      </c>
      <c r="C31" s="113">
        <f>견적서관리!D36</f>
        <v>0</v>
      </c>
      <c r="D31" s="113"/>
      <c r="E31" s="113"/>
      <c r="F31" s="113"/>
      <c r="G31" s="113"/>
      <c r="H31" s="114">
        <f>견적서관리!K36</f>
        <v>0</v>
      </c>
      <c r="I31" s="114"/>
      <c r="J31" s="64">
        <f>견적서관리!J36</f>
        <v>0</v>
      </c>
      <c r="K31" s="115">
        <f>견적서관리!M36</f>
        <v>0</v>
      </c>
      <c r="L31" s="116"/>
      <c r="M31" s="114">
        <f>IF(chk부가세, 견적서관리!O36, 견적서관리!O36-P31)</f>
        <v>0</v>
      </c>
      <c r="N31" s="114"/>
      <c r="O31" s="114"/>
      <c r="P31" s="114">
        <f>IF(chk부가세, 견적서관리!O36*0.1, INT(견적서관리!O36/11))</f>
        <v>0</v>
      </c>
      <c r="Q31" s="117"/>
      <c r="R31" s="39"/>
    </row>
    <row r="32" spans="1:18" ht="19.5" customHeight="1">
      <c r="A32" s="38"/>
      <c r="B32" s="41" t="str">
        <f>IF(C32&lt;&gt;0, COUNTIF($C$16:C32, "&lt;&gt;0"), "")</f>
        <v/>
      </c>
      <c r="C32" s="113">
        <f>견적서관리!D37</f>
        <v>0</v>
      </c>
      <c r="D32" s="113"/>
      <c r="E32" s="113"/>
      <c r="F32" s="113"/>
      <c r="G32" s="113"/>
      <c r="H32" s="114">
        <f>견적서관리!K37</f>
        <v>0</v>
      </c>
      <c r="I32" s="114"/>
      <c r="J32" s="64">
        <f>견적서관리!J37</f>
        <v>0</v>
      </c>
      <c r="K32" s="115">
        <f>견적서관리!M37</f>
        <v>0</v>
      </c>
      <c r="L32" s="116"/>
      <c r="M32" s="114">
        <f>IF(chk부가세, 견적서관리!O37, 견적서관리!O37-P32)</f>
        <v>0</v>
      </c>
      <c r="N32" s="114"/>
      <c r="O32" s="114"/>
      <c r="P32" s="114">
        <f>IF(chk부가세, 견적서관리!O37*0.1, INT(견적서관리!O37/11))</f>
        <v>0</v>
      </c>
      <c r="Q32" s="117"/>
      <c r="R32" s="39"/>
    </row>
    <row r="33" spans="1:18" ht="19.5" customHeight="1">
      <c r="A33" s="38"/>
      <c r="B33" s="41" t="str">
        <f>IF(C33&lt;&gt;0, COUNTIF($C$16:C33, "&lt;&gt;0"), "")</f>
        <v/>
      </c>
      <c r="C33" s="113">
        <f>견적서관리!D38</f>
        <v>0</v>
      </c>
      <c r="D33" s="113"/>
      <c r="E33" s="113"/>
      <c r="F33" s="113"/>
      <c r="G33" s="113"/>
      <c r="H33" s="114">
        <f>견적서관리!K38</f>
        <v>0</v>
      </c>
      <c r="I33" s="114"/>
      <c r="J33" s="64">
        <f>견적서관리!J38</f>
        <v>0</v>
      </c>
      <c r="K33" s="115">
        <f>견적서관리!M38</f>
        <v>0</v>
      </c>
      <c r="L33" s="116"/>
      <c r="M33" s="114">
        <f>IF(chk부가세, 견적서관리!O38, 견적서관리!O38-P33)</f>
        <v>0</v>
      </c>
      <c r="N33" s="114"/>
      <c r="O33" s="114"/>
      <c r="P33" s="114">
        <f>IF(chk부가세, 견적서관리!O38*0.1, INT(견적서관리!O38/11))</f>
        <v>0</v>
      </c>
      <c r="Q33" s="117"/>
      <c r="R33" s="39"/>
    </row>
    <row r="34" spans="1:18" ht="19.5" customHeight="1">
      <c r="A34" s="38"/>
      <c r="B34" s="41" t="str">
        <f>IF(C34&lt;&gt;0, COUNTIF($C$16:C34, "&lt;&gt;0"), "")</f>
        <v/>
      </c>
      <c r="C34" s="113">
        <f>견적서관리!D39</f>
        <v>0</v>
      </c>
      <c r="D34" s="113"/>
      <c r="E34" s="113"/>
      <c r="F34" s="113"/>
      <c r="G34" s="113"/>
      <c r="H34" s="114">
        <f>견적서관리!K39</f>
        <v>0</v>
      </c>
      <c r="I34" s="114"/>
      <c r="J34" s="64">
        <f>견적서관리!J39</f>
        <v>0</v>
      </c>
      <c r="K34" s="115">
        <f>견적서관리!M39</f>
        <v>0</v>
      </c>
      <c r="L34" s="116"/>
      <c r="M34" s="114">
        <f>IF(chk부가세, 견적서관리!O39, 견적서관리!O39-P34)</f>
        <v>0</v>
      </c>
      <c r="N34" s="114"/>
      <c r="O34" s="114"/>
      <c r="P34" s="114">
        <f>IF(chk부가세, 견적서관리!O39*0.1, INT(견적서관리!O39/11))</f>
        <v>0</v>
      </c>
      <c r="Q34" s="117"/>
      <c r="R34" s="39"/>
    </row>
    <row r="35" spans="1:18" ht="19.5" customHeight="1">
      <c r="A35" s="38"/>
      <c r="B35" s="41" t="str">
        <f>IF(C35&lt;&gt;0, COUNTIF($C$16:C35, "&lt;&gt;0"), "")</f>
        <v/>
      </c>
      <c r="C35" s="113">
        <f>견적서관리!D40</f>
        <v>0</v>
      </c>
      <c r="D35" s="113"/>
      <c r="E35" s="113"/>
      <c r="F35" s="113"/>
      <c r="G35" s="113"/>
      <c r="H35" s="114">
        <f>견적서관리!K40</f>
        <v>0</v>
      </c>
      <c r="I35" s="114"/>
      <c r="J35" s="64">
        <f>견적서관리!J40</f>
        <v>0</v>
      </c>
      <c r="K35" s="118">
        <f>견적서관리!M40</f>
        <v>0</v>
      </c>
      <c r="L35" s="119"/>
      <c r="M35" s="114">
        <f>IF(chk부가세, 견적서관리!O40, 견적서관리!O40-P35)</f>
        <v>0</v>
      </c>
      <c r="N35" s="114"/>
      <c r="O35" s="114"/>
      <c r="P35" s="114">
        <f>IF(chk부가세, 견적서관리!O40*0.1, INT(견적서관리!O40/11))</f>
        <v>0</v>
      </c>
      <c r="Q35" s="117"/>
      <c r="R35" s="39"/>
    </row>
    <row r="36" spans="1:18" ht="19.5" customHeight="1">
      <c r="A36" s="38"/>
      <c r="B36" s="88" t="s">
        <v>330</v>
      </c>
      <c r="C36" s="89"/>
      <c r="D36" s="89"/>
      <c r="E36" s="89"/>
      <c r="F36" s="89"/>
      <c r="G36" s="89"/>
      <c r="H36" s="89"/>
      <c r="I36" s="89"/>
      <c r="J36" s="89"/>
      <c r="K36" s="89"/>
      <c r="L36" s="90"/>
      <c r="M36" s="94">
        <f>SUM(M16:O35)</f>
        <v>2172638</v>
      </c>
      <c r="N36" s="95"/>
      <c r="O36" s="96"/>
      <c r="P36" s="94">
        <f>SUM(P16:Q35)</f>
        <v>217262</v>
      </c>
      <c r="Q36" s="96"/>
      <c r="R36" s="39"/>
    </row>
    <row r="37" spans="1:18" ht="19.5" customHeight="1">
      <c r="A37" s="38"/>
      <c r="B37" s="91"/>
      <c r="C37" s="92"/>
      <c r="D37" s="92"/>
      <c r="E37" s="92"/>
      <c r="F37" s="92"/>
      <c r="G37" s="92"/>
      <c r="H37" s="92"/>
      <c r="I37" s="92"/>
      <c r="J37" s="92"/>
      <c r="K37" s="92"/>
      <c r="L37" s="93"/>
      <c r="M37" s="97"/>
      <c r="N37" s="98"/>
      <c r="O37" s="99"/>
      <c r="P37" s="97"/>
      <c r="Q37" s="99"/>
      <c r="R37" s="39"/>
    </row>
    <row r="38" spans="1:18" ht="9.75" customHeight="1" thickBot="1">
      <c r="A38" s="42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4"/>
    </row>
    <row r="39" spans="1:18" ht="9.75" customHeight="1">
      <c r="A39" s="45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7"/>
    </row>
    <row r="40" spans="1:18" ht="19.5" customHeight="1">
      <c r="A40" s="48"/>
      <c r="B40" s="100" t="s">
        <v>331</v>
      </c>
      <c r="C40" s="101"/>
      <c r="D40" s="101"/>
      <c r="E40" s="101"/>
      <c r="F40" s="101"/>
      <c r="G40" s="101"/>
      <c r="H40" s="101"/>
      <c r="I40" s="106"/>
      <c r="J40" s="107"/>
      <c r="K40" s="107"/>
      <c r="L40" s="107"/>
      <c r="M40" s="107"/>
      <c r="N40" s="107"/>
      <c r="O40" s="107"/>
      <c r="P40" s="107"/>
      <c r="Q40" s="108"/>
      <c r="R40" s="49"/>
    </row>
    <row r="41" spans="1:18" ht="19.5" customHeight="1">
      <c r="A41" s="48"/>
      <c r="B41" s="102"/>
      <c r="C41" s="103"/>
      <c r="D41" s="103"/>
      <c r="E41" s="103"/>
      <c r="F41" s="103"/>
      <c r="G41" s="103"/>
      <c r="H41" s="103"/>
      <c r="I41" s="109"/>
      <c r="J41" s="109"/>
      <c r="K41" s="109"/>
      <c r="L41" s="109"/>
      <c r="M41" s="109"/>
      <c r="N41" s="109"/>
      <c r="O41" s="109"/>
      <c r="P41" s="109"/>
      <c r="Q41" s="110"/>
      <c r="R41" s="49"/>
    </row>
    <row r="42" spans="1:18" ht="19.5" customHeight="1">
      <c r="A42" s="48"/>
      <c r="B42" s="102"/>
      <c r="C42" s="103"/>
      <c r="D42" s="103"/>
      <c r="E42" s="103"/>
      <c r="F42" s="103"/>
      <c r="G42" s="103"/>
      <c r="H42" s="103"/>
      <c r="I42" s="109"/>
      <c r="J42" s="109"/>
      <c r="K42" s="109"/>
      <c r="L42" s="109"/>
      <c r="M42" s="109"/>
      <c r="N42" s="109"/>
      <c r="O42" s="109"/>
      <c r="P42" s="109"/>
      <c r="Q42" s="110"/>
      <c r="R42" s="49"/>
    </row>
    <row r="43" spans="1:18" ht="19.5" customHeight="1">
      <c r="A43" s="48"/>
      <c r="B43" s="104"/>
      <c r="C43" s="105"/>
      <c r="D43" s="105"/>
      <c r="E43" s="105"/>
      <c r="F43" s="105"/>
      <c r="G43" s="105"/>
      <c r="H43" s="105"/>
      <c r="I43" s="111"/>
      <c r="J43" s="111"/>
      <c r="K43" s="111"/>
      <c r="L43" s="111"/>
      <c r="M43" s="111"/>
      <c r="N43" s="111"/>
      <c r="O43" s="111"/>
      <c r="P43" s="111"/>
      <c r="Q43" s="112"/>
      <c r="R43" s="49"/>
    </row>
    <row r="44" spans="1:18" ht="19.5" customHeight="1">
      <c r="A44" s="48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49"/>
    </row>
    <row r="45" spans="1:18" ht="19.5" customHeight="1">
      <c r="A45" s="51"/>
      <c r="B45" s="75" t="s">
        <v>332</v>
      </c>
      <c r="C45" s="75"/>
      <c r="D45" s="75"/>
      <c r="E45" s="75"/>
      <c r="F45" s="75"/>
      <c r="G45" s="75"/>
      <c r="H45" s="75"/>
      <c r="I45" s="75"/>
      <c r="J45" s="75" t="s">
        <v>333</v>
      </c>
      <c r="K45" s="75"/>
      <c r="L45" s="75"/>
      <c r="M45" s="75"/>
      <c r="N45" s="75"/>
      <c r="O45" s="75"/>
      <c r="P45" s="75"/>
      <c r="Q45" s="75"/>
      <c r="R45" s="52"/>
    </row>
    <row r="46" spans="1:18" ht="19.5" customHeight="1">
      <c r="A46" s="51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52"/>
    </row>
    <row r="47" spans="1:18" ht="19.5" customHeight="1">
      <c r="A47" s="51"/>
      <c r="B47" s="75" t="s">
        <v>334</v>
      </c>
      <c r="C47" s="75"/>
      <c r="D47" s="75"/>
      <c r="E47" s="86" t="str">
        <f>의뢰자</f>
        <v>삼화 상사 ㈜</v>
      </c>
      <c r="F47" s="86"/>
      <c r="G47" s="86"/>
      <c r="H47" s="86"/>
      <c r="I47" s="86"/>
      <c r="J47" s="75" t="s">
        <v>334</v>
      </c>
      <c r="K47" s="75"/>
      <c r="L47" s="75"/>
      <c r="M47" s="86" t="str">
        <f>견적서관리!D7</f>
        <v>엑셀..하루에 하나씩</v>
      </c>
      <c r="N47" s="86"/>
      <c r="O47" s="86"/>
      <c r="P47" s="86"/>
      <c r="Q47" s="86"/>
      <c r="R47" s="52"/>
    </row>
    <row r="48" spans="1:18" ht="19.5" customHeight="1">
      <c r="A48" s="51"/>
      <c r="B48" s="75"/>
      <c r="C48" s="75"/>
      <c r="D48" s="75"/>
      <c r="E48" s="86"/>
      <c r="F48" s="86"/>
      <c r="G48" s="86"/>
      <c r="H48" s="86"/>
      <c r="I48" s="86"/>
      <c r="J48" s="75"/>
      <c r="K48" s="75"/>
      <c r="L48" s="75"/>
      <c r="M48" s="86"/>
      <c r="N48" s="86"/>
      <c r="O48" s="86"/>
      <c r="P48" s="86"/>
      <c r="Q48" s="86"/>
      <c r="R48" s="52"/>
    </row>
    <row r="49" spans="1:18" ht="19.5" customHeight="1">
      <c r="A49" s="51"/>
      <c r="B49" s="75" t="s">
        <v>335</v>
      </c>
      <c r="C49" s="75"/>
      <c r="D49" s="75"/>
      <c r="E49" s="86" t="str">
        <f>견적서관리!L8</f>
        <v>기획실</v>
      </c>
      <c r="F49" s="86"/>
      <c r="G49" s="86"/>
      <c r="H49" s="86"/>
      <c r="I49" s="86"/>
      <c r="J49" s="75" t="s">
        <v>335</v>
      </c>
      <c r="K49" s="75"/>
      <c r="L49" s="75"/>
      <c r="M49" s="76" t="s">
        <v>342</v>
      </c>
      <c r="N49" s="76"/>
      <c r="O49" s="76"/>
      <c r="P49" s="76"/>
      <c r="Q49" s="76"/>
      <c r="R49" s="52"/>
    </row>
    <row r="50" spans="1:18" ht="19.5" customHeight="1">
      <c r="A50" s="51"/>
      <c r="B50" s="75"/>
      <c r="C50" s="75"/>
      <c r="D50" s="75"/>
      <c r="E50" s="86"/>
      <c r="F50" s="86"/>
      <c r="G50" s="86"/>
      <c r="H50" s="86"/>
      <c r="I50" s="86"/>
      <c r="J50" s="75"/>
      <c r="K50" s="75"/>
      <c r="L50" s="75"/>
      <c r="M50" s="76"/>
      <c r="N50" s="76"/>
      <c r="O50" s="76"/>
      <c r="P50" s="76"/>
      <c r="Q50" s="76"/>
      <c r="R50" s="52"/>
    </row>
    <row r="51" spans="1:18" ht="19.5" customHeight="1">
      <c r="A51" s="51"/>
      <c r="B51" s="75" t="s">
        <v>336</v>
      </c>
      <c r="C51" s="75"/>
      <c r="D51" s="75"/>
      <c r="E51" s="86" t="str">
        <f>견적서관리!L9 &amp; " " &amp; 견적서관리!L10 &amp; "님"</f>
        <v>정영일 부장님</v>
      </c>
      <c r="F51" s="86"/>
      <c r="G51" s="86"/>
      <c r="H51" s="86"/>
      <c r="I51" s="86"/>
      <c r="J51" s="75" t="s">
        <v>336</v>
      </c>
      <c r="K51" s="75"/>
      <c r="L51" s="75"/>
      <c r="M51" s="87" t="s">
        <v>343</v>
      </c>
      <c r="N51" s="76"/>
      <c r="O51" s="76"/>
      <c r="P51" s="76"/>
      <c r="Q51" s="76"/>
      <c r="R51" s="52"/>
    </row>
    <row r="52" spans="1:18" ht="19.5" customHeight="1">
      <c r="A52" s="51"/>
      <c r="B52" s="75"/>
      <c r="C52" s="75"/>
      <c r="D52" s="75"/>
      <c r="E52" s="86"/>
      <c r="F52" s="86"/>
      <c r="G52" s="86"/>
      <c r="H52" s="86"/>
      <c r="I52" s="86"/>
      <c r="J52" s="75"/>
      <c r="K52" s="75"/>
      <c r="L52" s="75"/>
      <c r="M52" s="76"/>
      <c r="N52" s="76"/>
      <c r="O52" s="76"/>
      <c r="P52" s="76"/>
      <c r="Q52" s="76"/>
      <c r="R52" s="52"/>
    </row>
    <row r="53" spans="1:18" ht="19.5" customHeight="1">
      <c r="A53" s="51"/>
      <c r="B53" s="75" t="s">
        <v>337</v>
      </c>
      <c r="C53" s="75"/>
      <c r="D53" s="75"/>
      <c r="E53" s="86" t="str">
        <f>견적서관리!L12</f>
        <v>(051)324-1945</v>
      </c>
      <c r="F53" s="86"/>
      <c r="G53" s="86"/>
      <c r="H53" s="86"/>
      <c r="I53" s="86"/>
      <c r="J53" s="75" t="s">
        <v>337</v>
      </c>
      <c r="K53" s="75"/>
      <c r="L53" s="75"/>
      <c r="M53" s="76" t="s">
        <v>344</v>
      </c>
      <c r="N53" s="76"/>
      <c r="O53" s="76"/>
      <c r="P53" s="76"/>
      <c r="Q53" s="76"/>
      <c r="R53" s="52"/>
    </row>
    <row r="54" spans="1:18" ht="19.5" customHeight="1">
      <c r="A54" s="51"/>
      <c r="B54" s="75"/>
      <c r="C54" s="75"/>
      <c r="D54" s="75"/>
      <c r="E54" s="86"/>
      <c r="F54" s="86"/>
      <c r="G54" s="86"/>
      <c r="H54" s="86"/>
      <c r="I54" s="86"/>
      <c r="J54" s="75"/>
      <c r="K54" s="75"/>
      <c r="L54" s="75"/>
      <c r="M54" s="76"/>
      <c r="N54" s="76"/>
      <c r="O54" s="76"/>
      <c r="P54" s="76"/>
      <c r="Q54" s="76"/>
      <c r="R54" s="52"/>
    </row>
    <row r="55" spans="1:18" ht="19.5" customHeight="1">
      <c r="A55" s="51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2"/>
    </row>
    <row r="56" spans="1:18" ht="19.5" customHeight="1">
      <c r="A56" s="51"/>
      <c r="B56" s="75" t="s">
        <v>338</v>
      </c>
      <c r="C56" s="75"/>
      <c r="D56" s="75"/>
      <c r="E56" s="76" t="str">
        <f>E47 &amp; " 의 견적 요청 회신건"</f>
        <v>삼화 상사 ㈜ 의 견적 요청 회신건</v>
      </c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52"/>
    </row>
    <row r="57" spans="1:18" ht="19.5" customHeight="1">
      <c r="A57" s="51"/>
      <c r="B57" s="75"/>
      <c r="C57" s="75"/>
      <c r="D57" s="75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52"/>
    </row>
    <row r="58" spans="1:18" ht="19.5" customHeight="1">
      <c r="A58" s="51"/>
      <c r="B58" s="77" t="s">
        <v>339</v>
      </c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9"/>
      <c r="R58" s="52"/>
    </row>
    <row r="59" spans="1:18" ht="19.5" customHeight="1">
      <c r="A59" s="51"/>
      <c r="B59" s="80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52"/>
    </row>
    <row r="60" spans="1:18" ht="19.5" customHeight="1">
      <c r="A60" s="51"/>
      <c r="B60" s="54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5"/>
      <c r="R60" s="52"/>
    </row>
    <row r="61" spans="1:18" ht="19.5" customHeight="1">
      <c r="A61" s="51"/>
      <c r="B61" s="54"/>
      <c r="C61" s="83" t="s">
        <v>340</v>
      </c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55"/>
      <c r="R61" s="52"/>
    </row>
    <row r="62" spans="1:18" ht="19.5" customHeight="1">
      <c r="A62" s="51"/>
      <c r="B62" s="5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55"/>
      <c r="R62" s="52"/>
    </row>
    <row r="63" spans="1:18" ht="19.5" customHeight="1">
      <c r="A63" s="51"/>
      <c r="B63" s="5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55"/>
      <c r="R63" s="52"/>
    </row>
    <row r="64" spans="1:18" ht="19.5" customHeight="1">
      <c r="A64" s="51"/>
      <c r="B64" s="5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55"/>
      <c r="R64" s="52"/>
    </row>
    <row r="65" spans="1:18" ht="19.5" customHeight="1">
      <c r="A65" s="51"/>
      <c r="B65" s="5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55"/>
      <c r="R65" s="52"/>
    </row>
    <row r="66" spans="1:18" ht="19.5" customHeight="1">
      <c r="A66" s="51"/>
      <c r="B66" s="5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55"/>
      <c r="R66" s="52"/>
    </row>
    <row r="67" spans="1:18" ht="19.5" customHeight="1">
      <c r="A67" s="51"/>
      <c r="B67" s="5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55"/>
      <c r="R67" s="52"/>
    </row>
    <row r="68" spans="1:18" ht="19.5" customHeight="1">
      <c r="A68" s="51"/>
      <c r="B68" s="5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55"/>
      <c r="R68" s="52"/>
    </row>
    <row r="69" spans="1:18" ht="19.5" customHeight="1">
      <c r="A69" s="51"/>
      <c r="B69" s="5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55"/>
      <c r="R69" s="52"/>
    </row>
    <row r="70" spans="1:18" ht="19.5" customHeight="1">
      <c r="A70" s="51"/>
      <c r="B70" s="5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55"/>
      <c r="R70" s="52"/>
    </row>
    <row r="71" spans="1:18" ht="19.5" customHeight="1">
      <c r="A71" s="51"/>
      <c r="B71" s="5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55"/>
      <c r="R71" s="52"/>
    </row>
    <row r="72" spans="1:18" ht="19.5" customHeight="1">
      <c r="A72" s="51"/>
      <c r="B72" s="54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5"/>
      <c r="R72" s="52"/>
    </row>
    <row r="73" spans="1:18" ht="19.5" customHeight="1">
      <c r="A73" s="51"/>
      <c r="B73" s="54"/>
      <c r="C73" s="75" t="s">
        <v>341</v>
      </c>
      <c r="D73" s="75"/>
      <c r="E73" s="75"/>
      <c r="F73" s="75"/>
      <c r="G73" s="85">
        <f ca="1">NOW()</f>
        <v>40643.546608101853</v>
      </c>
      <c r="H73" s="85"/>
      <c r="I73" s="85"/>
      <c r="J73" s="85"/>
      <c r="K73" s="85"/>
      <c r="L73" s="85"/>
      <c r="M73" s="85"/>
      <c r="N73" s="85"/>
      <c r="O73" s="85"/>
      <c r="P73" s="85"/>
      <c r="Q73" s="55"/>
      <c r="R73" s="52"/>
    </row>
    <row r="74" spans="1:18" ht="19.5" customHeight="1">
      <c r="A74" s="51"/>
      <c r="B74" s="54"/>
      <c r="C74" s="75"/>
      <c r="D74" s="75"/>
      <c r="E74" s="75"/>
      <c r="F74" s="7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55"/>
      <c r="R74" s="52"/>
    </row>
    <row r="75" spans="1:18" ht="19.5" customHeight="1">
      <c r="A75" s="51"/>
      <c r="B75" s="57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9"/>
      <c r="R75" s="52"/>
    </row>
    <row r="76" spans="1:18" ht="9.75" customHeight="1" thickBot="1">
      <c r="A76" s="60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2"/>
    </row>
  </sheetData>
  <mergeCells count="158">
    <mergeCell ref="B2:Q4"/>
    <mergeCell ref="B5:I6"/>
    <mergeCell ref="J5:J11"/>
    <mergeCell ref="K5:L5"/>
    <mergeCell ref="M5:Q5"/>
    <mergeCell ref="K6:L6"/>
    <mergeCell ref="M6:Q6"/>
    <mergeCell ref="B7:I7"/>
    <mergeCell ref="K7:L7"/>
    <mergeCell ref="M7:Q7"/>
    <mergeCell ref="B8:G9"/>
    <mergeCell ref="H8:I9"/>
    <mergeCell ref="K8:L9"/>
    <mergeCell ref="M8:Q9"/>
    <mergeCell ref="B10:I11"/>
    <mergeCell ref="K10:L10"/>
    <mergeCell ref="M10:Q10"/>
    <mergeCell ref="K11:L11"/>
    <mergeCell ref="M11:Q11"/>
    <mergeCell ref="B12:E13"/>
    <mergeCell ref="F12:M13"/>
    <mergeCell ref="N12:Q13"/>
    <mergeCell ref="B14:B15"/>
    <mergeCell ref="C14:G15"/>
    <mergeCell ref="H14:I15"/>
    <mergeCell ref="J14:J15"/>
    <mergeCell ref="K14:L15"/>
    <mergeCell ref="M14:O15"/>
    <mergeCell ref="P14:Q15"/>
    <mergeCell ref="C16:G16"/>
    <mergeCell ref="H16:I16"/>
    <mergeCell ref="K16:L16"/>
    <mergeCell ref="M16:O16"/>
    <mergeCell ref="P16:Q16"/>
    <mergeCell ref="C17:G17"/>
    <mergeCell ref="H17:I17"/>
    <mergeCell ref="K17:L17"/>
    <mergeCell ref="M17:O17"/>
    <mergeCell ref="P17:Q17"/>
    <mergeCell ref="C18:G18"/>
    <mergeCell ref="H18:I18"/>
    <mergeCell ref="K18:L18"/>
    <mergeCell ref="M18:O18"/>
    <mergeCell ref="P18:Q18"/>
    <mergeCell ref="C19:G19"/>
    <mergeCell ref="H19:I19"/>
    <mergeCell ref="K19:L19"/>
    <mergeCell ref="M19:O19"/>
    <mergeCell ref="P19:Q19"/>
    <mergeCell ref="C20:G20"/>
    <mergeCell ref="H20:I20"/>
    <mergeCell ref="K20:L20"/>
    <mergeCell ref="M20:O20"/>
    <mergeCell ref="P20:Q20"/>
    <mergeCell ref="C21:G21"/>
    <mergeCell ref="H21:I21"/>
    <mergeCell ref="K21:L21"/>
    <mergeCell ref="M21:O21"/>
    <mergeCell ref="P21:Q21"/>
    <mergeCell ref="C22:G22"/>
    <mergeCell ref="H22:I22"/>
    <mergeCell ref="K22:L22"/>
    <mergeCell ref="M22:O22"/>
    <mergeCell ref="P22:Q22"/>
    <mergeCell ref="C23:G23"/>
    <mergeCell ref="H23:I23"/>
    <mergeCell ref="K23:L23"/>
    <mergeCell ref="M23:O23"/>
    <mergeCell ref="P23:Q23"/>
    <mergeCell ref="C24:G24"/>
    <mergeCell ref="H24:I24"/>
    <mergeCell ref="K24:L24"/>
    <mergeCell ref="M24:O24"/>
    <mergeCell ref="P24:Q24"/>
    <mergeCell ref="C25:G25"/>
    <mergeCell ref="H25:I25"/>
    <mergeCell ref="K25:L25"/>
    <mergeCell ref="M25:O25"/>
    <mergeCell ref="P25:Q25"/>
    <mergeCell ref="C26:G26"/>
    <mergeCell ref="H26:I26"/>
    <mergeCell ref="K26:L26"/>
    <mergeCell ref="M26:O26"/>
    <mergeCell ref="P26:Q26"/>
    <mergeCell ref="C27:G27"/>
    <mergeCell ref="H27:I27"/>
    <mergeCell ref="K27:L27"/>
    <mergeCell ref="M27:O27"/>
    <mergeCell ref="P27:Q27"/>
    <mergeCell ref="C28:G28"/>
    <mergeCell ref="H28:I28"/>
    <mergeCell ref="K28:L28"/>
    <mergeCell ref="M28:O28"/>
    <mergeCell ref="P28:Q28"/>
    <mergeCell ref="C29:G29"/>
    <mergeCell ref="H29:I29"/>
    <mergeCell ref="K29:L29"/>
    <mergeCell ref="M29:O29"/>
    <mergeCell ref="P29:Q29"/>
    <mergeCell ref="C30:G30"/>
    <mergeCell ref="H30:I30"/>
    <mergeCell ref="K30:L30"/>
    <mergeCell ref="M30:O30"/>
    <mergeCell ref="P30:Q30"/>
    <mergeCell ref="C31:G31"/>
    <mergeCell ref="H31:I31"/>
    <mergeCell ref="K31:L31"/>
    <mergeCell ref="M31:O31"/>
    <mergeCell ref="P31:Q31"/>
    <mergeCell ref="C32:G32"/>
    <mergeCell ref="H32:I32"/>
    <mergeCell ref="K32:L32"/>
    <mergeCell ref="M32:O32"/>
    <mergeCell ref="P32:Q32"/>
    <mergeCell ref="C33:G33"/>
    <mergeCell ref="H33:I33"/>
    <mergeCell ref="K33:L33"/>
    <mergeCell ref="M33:O33"/>
    <mergeCell ref="P33:Q33"/>
    <mergeCell ref="C34:G34"/>
    <mergeCell ref="H34:I34"/>
    <mergeCell ref="K34:L34"/>
    <mergeCell ref="M34:O34"/>
    <mergeCell ref="P34:Q34"/>
    <mergeCell ref="C35:G35"/>
    <mergeCell ref="H35:I35"/>
    <mergeCell ref="K35:L35"/>
    <mergeCell ref="M35:O35"/>
    <mergeCell ref="P35:Q35"/>
    <mergeCell ref="B47:D48"/>
    <mergeCell ref="E47:I48"/>
    <mergeCell ref="J47:L48"/>
    <mergeCell ref="M47:Q48"/>
    <mergeCell ref="B49:D50"/>
    <mergeCell ref="E49:I50"/>
    <mergeCell ref="J49:L50"/>
    <mergeCell ref="M49:Q50"/>
    <mergeCell ref="B36:L37"/>
    <mergeCell ref="M36:O37"/>
    <mergeCell ref="P36:Q37"/>
    <mergeCell ref="B40:H43"/>
    <mergeCell ref="I40:Q43"/>
    <mergeCell ref="B45:I46"/>
    <mergeCell ref="J45:Q46"/>
    <mergeCell ref="B56:D57"/>
    <mergeCell ref="E56:Q57"/>
    <mergeCell ref="B58:Q59"/>
    <mergeCell ref="C61:P71"/>
    <mergeCell ref="C73:F74"/>
    <mergeCell ref="G73:P74"/>
    <mergeCell ref="B51:D52"/>
    <mergeCell ref="E51:I52"/>
    <mergeCell ref="J51:L52"/>
    <mergeCell ref="M51:Q52"/>
    <mergeCell ref="B53:D54"/>
    <mergeCell ref="E53:I54"/>
    <mergeCell ref="J53:L54"/>
    <mergeCell ref="M53:Q54"/>
  </mergeCells>
  <phoneticPr fontId="9" type="noConversion"/>
  <conditionalFormatting sqref="A1:R76">
    <cfRule type="cellIs" dxfId="0" priority="1" operator="equal">
      <formula>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책 예제 및 샘플 제공용</Templat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5</vt:i4>
      </vt:variant>
    </vt:vector>
  </HeadingPairs>
  <TitlesOfParts>
    <vt:vector size="9" baseType="lpstr">
      <vt:lpstr>제품</vt:lpstr>
      <vt:lpstr>고객</vt:lpstr>
      <vt:lpstr>분류</vt:lpstr>
      <vt:lpstr>견적서관리</vt:lpstr>
      <vt:lpstr>chk부가세</vt:lpstr>
      <vt:lpstr>견적내역시작셀</vt:lpstr>
      <vt:lpstr>고객명</vt:lpstr>
      <vt:lpstr>분류</vt:lpstr>
      <vt:lpstr>의뢰자</vt:lpstr>
    </vt:vector>
  </TitlesOfParts>
  <Company>길벗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1부 샘플파일</dc:title>
  <dc:subject>엑셀..하루에 하나씩(http://cafe.naver.com/excelmaster.cafe)</dc:subject>
  <dc:creator>최준선(haruhana@gmail.com)</dc:creator>
  <cp:keywords>엑셀..하루에 하나씩</cp:keywords>
  <cp:lastModifiedBy>하루하나</cp:lastModifiedBy>
  <cp:lastPrinted>2011-04-06T12:55:06Z</cp:lastPrinted>
  <dcterms:created xsi:type="dcterms:W3CDTF">2005-08-17T22:18:09Z</dcterms:created>
  <dcterms:modified xsi:type="dcterms:W3CDTF">2011-04-10T04:07:09Z</dcterms:modified>
</cp:coreProperties>
</file>