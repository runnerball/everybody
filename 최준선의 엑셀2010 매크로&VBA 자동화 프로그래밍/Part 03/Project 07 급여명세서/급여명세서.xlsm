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0" yWindow="75" windowWidth="14265" windowHeight="8955" tabRatio="928"/>
  </bookViews>
  <sheets>
    <sheet name="급여대장" sheetId="1" r:id="rId1"/>
    <sheet name="급여명세서" sheetId="2" r:id="rId2"/>
    <sheet name="관리" sheetId="3" r:id="rId3"/>
  </sheets>
  <definedNames>
    <definedName name="_xlnm._FilterDatabase" localSheetId="0" hidden="1">급여대장!$A$1:$T$21</definedName>
    <definedName name="가불금">급여명세서!$H$19</definedName>
    <definedName name="갑근세">급여명세서!$D$17</definedName>
    <definedName name="건강보험">급여명세서!$D$19</definedName>
    <definedName name="고용보험">급여명세서!$P$17</definedName>
    <definedName name="공제총액">급여명세서!$H$10</definedName>
    <definedName name="국민연금">급여명세서!$L$17</definedName>
    <definedName name="근속수당">급여명세서!$L$13</definedName>
    <definedName name="급식수당">급여명세서!$P$13</definedName>
    <definedName name="급여총액">급여명세서!$D$10</definedName>
    <definedName name="기본급">급여명세서!$D$13</definedName>
    <definedName name="부서">급여명세서!$C$7</definedName>
    <definedName name="이름">급여명세서!$I$7</definedName>
    <definedName name="제목">급여명세서!$C$3</definedName>
    <definedName name="조건표">관리!$C$8:$E$9</definedName>
    <definedName name="주민세">급여명세서!$H$17</definedName>
    <definedName name="직위">급여명세서!$F$7</definedName>
    <definedName name="직책수당">급여명세서!$H$13</definedName>
  </definedNames>
  <calcPr calcId="144525"/>
</workbook>
</file>

<file path=xl/calcChain.xml><?xml version="1.0" encoding="utf-8"?>
<calcChain xmlns="http://schemas.openxmlformats.org/spreadsheetml/2006/main">
  <c r="T17" i="2" l="1"/>
  <c r="T13" i="2"/>
  <c r="Q9" i="2"/>
</calcChain>
</file>

<file path=xl/sharedStrings.xml><?xml version="1.0" encoding="utf-8"?>
<sst xmlns="http://schemas.openxmlformats.org/spreadsheetml/2006/main" count="133" uniqueCount="101">
  <si>
    <t>직위</t>
  </si>
  <si>
    <t>김소미</t>
  </si>
  <si>
    <t>김덕훈</t>
  </si>
  <si>
    <t>윤대현</t>
  </si>
  <si>
    <t>최소라</t>
  </si>
  <si>
    <t>안정훈</t>
  </si>
  <si>
    <t>김찬진</t>
  </si>
  <si>
    <t>오영수</t>
  </si>
  <si>
    <t>선하라</t>
  </si>
  <si>
    <t>유가을</t>
  </si>
  <si>
    <t>영업부</t>
  </si>
  <si>
    <t>과장</t>
  </si>
  <si>
    <t>대리</t>
  </si>
  <si>
    <t>사원</t>
  </si>
  <si>
    <t>강태준</t>
  </si>
  <si>
    <t>인사부</t>
  </si>
  <si>
    <t>박광준</t>
  </si>
  <si>
    <t>강민수</t>
  </si>
  <si>
    <t>이강주</t>
  </si>
  <si>
    <t>천용만</t>
  </si>
  <si>
    <t>문익한</t>
  </si>
  <si>
    <t>총무부</t>
  </si>
  <si>
    <t>구재석</t>
  </si>
  <si>
    <t>손미선</t>
  </si>
  <si>
    <t>정영일</t>
  </si>
  <si>
    <t>주임</t>
  </si>
  <si>
    <t>최영희</t>
  </si>
  <si>
    <t>황영순</t>
  </si>
  <si>
    <t>부장</t>
    <phoneticPr fontId="2" type="noConversion"/>
  </si>
  <si>
    <t>과장</t>
    <phoneticPr fontId="2" type="noConversion"/>
  </si>
  <si>
    <t>사번</t>
    <phoneticPr fontId="2" type="noConversion"/>
  </si>
  <si>
    <t>이름</t>
    <phoneticPr fontId="2" type="noConversion"/>
  </si>
  <si>
    <t>이메일</t>
    <phoneticPr fontId="2" type="noConversion"/>
  </si>
  <si>
    <t>부서</t>
    <phoneticPr fontId="2" type="noConversion"/>
  </si>
  <si>
    <t>부양가족</t>
    <phoneticPr fontId="2" type="noConversion"/>
  </si>
  <si>
    <t>기본급</t>
    <phoneticPr fontId="2" type="noConversion"/>
  </si>
  <si>
    <t>직책수당</t>
    <phoneticPr fontId="2" type="noConversion"/>
  </si>
  <si>
    <t>근속수당</t>
    <phoneticPr fontId="2" type="noConversion"/>
  </si>
  <si>
    <t>급식수당</t>
    <phoneticPr fontId="2" type="noConversion"/>
  </si>
  <si>
    <t>급여총액</t>
    <phoneticPr fontId="2" type="noConversion"/>
  </si>
  <si>
    <t>과세급여</t>
    <phoneticPr fontId="2" type="noConversion"/>
  </si>
  <si>
    <t>갑근세</t>
    <phoneticPr fontId="2" type="noConversion"/>
  </si>
  <si>
    <t>주민세</t>
    <phoneticPr fontId="2" type="noConversion"/>
  </si>
  <si>
    <t>국민연금</t>
    <phoneticPr fontId="2" type="noConversion"/>
  </si>
  <si>
    <t>고용보험</t>
    <phoneticPr fontId="2" type="noConversion"/>
  </si>
  <si>
    <t>건강보험</t>
    <phoneticPr fontId="2" type="noConversion"/>
  </si>
  <si>
    <t>가불금</t>
    <phoneticPr fontId="2" type="noConversion"/>
  </si>
  <si>
    <t>공제총액</t>
    <phoneticPr fontId="2" type="noConversion"/>
  </si>
  <si>
    <t>지급액</t>
    <phoneticPr fontId="2" type="noConversion"/>
  </si>
  <si>
    <t>김덕훈@mail.com</t>
  </si>
  <si>
    <t>안정훈@mail.com</t>
  </si>
  <si>
    <t>김소미@mail.com</t>
  </si>
  <si>
    <t>김찬진@mail.com</t>
  </si>
  <si>
    <t>오영수@mail.com</t>
  </si>
  <si>
    <t>윤대현@mail.com</t>
  </si>
  <si>
    <t>최소라@mail.com</t>
  </si>
  <si>
    <t>강태준@mail.com</t>
  </si>
  <si>
    <t>박광준@mail.com</t>
  </si>
  <si>
    <t>강민수@mail.com</t>
  </si>
  <si>
    <t>이강주@mail.com</t>
  </si>
  <si>
    <t>천용만@mail.com</t>
  </si>
  <si>
    <t>문익한@mail.com</t>
  </si>
  <si>
    <t>구재석@mail.com</t>
  </si>
  <si>
    <t>선하라@mail.com</t>
  </si>
  <si>
    <t>손미선@mail.com</t>
  </si>
  <si>
    <t>유가을@mail.com</t>
  </si>
  <si>
    <t>정영일@mail.com</t>
  </si>
  <si>
    <t>최영희@mail.com</t>
  </si>
  <si>
    <t>황영순@mail.com</t>
  </si>
  <si>
    <t>부서</t>
    <phoneticPr fontId="8" type="noConversion"/>
  </si>
  <si>
    <t>직위</t>
    <phoneticPr fontId="8" type="noConversion"/>
  </si>
  <si>
    <t>이름</t>
    <phoneticPr fontId="8" type="noConversion"/>
  </si>
  <si>
    <t>요약</t>
    <phoneticPr fontId="8" type="noConversion"/>
  </si>
  <si>
    <t>급여총액</t>
    <phoneticPr fontId="8" type="noConversion"/>
  </si>
  <si>
    <t>공제총액</t>
    <phoneticPr fontId="8" type="noConversion"/>
  </si>
  <si>
    <t>지급액</t>
    <phoneticPr fontId="8" type="noConversion"/>
  </si>
  <si>
    <t>급여내역</t>
    <phoneticPr fontId="8" type="noConversion"/>
  </si>
  <si>
    <t>기본급</t>
    <phoneticPr fontId="8" type="noConversion"/>
  </si>
  <si>
    <t>직책수당</t>
    <phoneticPr fontId="8" type="noConversion"/>
  </si>
  <si>
    <t>근속수당</t>
    <phoneticPr fontId="8" type="noConversion"/>
  </si>
  <si>
    <t>급식수당</t>
    <phoneticPr fontId="8" type="noConversion"/>
  </si>
  <si>
    <t>공제내역</t>
    <phoneticPr fontId="8" type="noConversion"/>
  </si>
  <si>
    <t>갑근세</t>
    <phoneticPr fontId="8" type="noConversion"/>
  </si>
  <si>
    <t>주민세</t>
    <phoneticPr fontId="8" type="noConversion"/>
  </si>
  <si>
    <t>국민연금</t>
    <phoneticPr fontId="8" type="noConversion"/>
  </si>
  <si>
    <t>고용보험</t>
    <phoneticPr fontId="8" type="noConversion"/>
  </si>
  <si>
    <t>공제총액</t>
    <phoneticPr fontId="8" type="noConversion"/>
  </si>
  <si>
    <t>건강보험</t>
    <phoneticPr fontId="8" type="noConversion"/>
  </si>
  <si>
    <t>가불금</t>
    <phoneticPr fontId="8" type="noConversion"/>
  </si>
  <si>
    <t>공지사항</t>
    <phoneticPr fontId="8" type="noConversion"/>
  </si>
  <si>
    <t>번호</t>
    <phoneticPr fontId="8" type="noConversion"/>
  </si>
  <si>
    <t>공지 내용</t>
    <phoneticPr fontId="8" type="noConversion"/>
  </si>
  <si>
    <t>담당</t>
    <phoneticPr fontId="8" type="noConversion"/>
  </si>
  <si>
    <t>재무부 과장 홍길동 (문의 : 123 (내선))</t>
    <phoneticPr fontId="8" type="noConversion"/>
  </si>
  <si>
    <t>주식회사 엑셀..하루에 하나씩</t>
    <phoneticPr fontId="8" type="noConversion"/>
  </si>
  <si>
    <t>급여명세서 발송 옵션</t>
    <phoneticPr fontId="6" type="noConversion"/>
  </si>
  <si>
    <t>부서</t>
    <phoneticPr fontId="6" type="noConversion"/>
  </si>
  <si>
    <t>직위</t>
    <phoneticPr fontId="6" type="noConversion"/>
  </si>
  <si>
    <t>이름</t>
    <phoneticPr fontId="6" type="noConversion"/>
  </si>
  <si>
    <t>[조건표]</t>
    <phoneticPr fontId="6" type="noConversion"/>
  </si>
  <si>
    <t>월 급여명세서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</si>
</sst>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2" formatCode="_-&quot;₩&quot;* #,##0_-;\-&quot;₩&quot;* #,##0_-;_-&quot;₩&quot;* &quot;-&quot;_-;_-@_-"/>
    <numFmt numFmtId="41" formatCode="_-* #,##0_-;\-* #,##0_-;_-* &quot;-&quot;_-;_-@_-"/>
    <numFmt numFmtId="176" formatCode=";;;@"/>
  </numFmts>
  <fonts count="19">
    <font>
      <sz val="11"/>
      <color theme="1"/>
      <name val="맑은 고딕"/>
      <family val="2"/>
      <charset val="129"/>
      <scheme val="minor"/>
    </font>
    <font>
      <sz val="9"/>
      <name val="TTche"/>
      <family val="1"/>
      <charset val="129"/>
    </font>
    <font>
      <sz val="8"/>
      <name val="TTche"/>
      <family val="1"/>
      <charset val="129"/>
    </font>
    <font>
      <sz val="1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24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color rgb="FF000000"/>
      <name val="굴림"/>
      <family val="3"/>
      <charset val="129"/>
    </font>
    <font>
      <b/>
      <sz val="10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</cellStyleXfs>
  <cellXfs count="117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0" fontId="3" fillId="3" borderId="2" xfId="0" applyFont="1" applyFill="1" applyBorder="1">
      <alignment vertical="center"/>
    </xf>
    <xf numFmtId="0" fontId="3" fillId="3" borderId="3" xfId="0" applyFont="1" applyFill="1" applyBorder="1">
      <alignment vertical="center"/>
    </xf>
    <xf numFmtId="0" fontId="3" fillId="3" borderId="4" xfId="0" applyFont="1" applyFill="1" applyBorder="1">
      <alignment vertical="center"/>
    </xf>
    <xf numFmtId="0" fontId="3" fillId="0" borderId="0" xfId="0" applyFont="1">
      <alignment vertical="center"/>
    </xf>
    <xf numFmtId="0" fontId="3" fillId="3" borderId="5" xfId="0" applyFont="1" applyFill="1" applyBorder="1">
      <alignment vertical="center"/>
    </xf>
    <xf numFmtId="0" fontId="3" fillId="3" borderId="6" xfId="0" applyFont="1" applyFill="1" applyBorder="1">
      <alignment vertical="center"/>
    </xf>
    <xf numFmtId="0" fontId="3" fillId="3" borderId="7" xfId="0" applyFont="1" applyFill="1" applyBorder="1">
      <alignment vertical="center"/>
    </xf>
    <xf numFmtId="0" fontId="3" fillId="3" borderId="8" xfId="0" applyFont="1" applyFill="1" applyBorder="1">
      <alignment vertical="center"/>
    </xf>
    <xf numFmtId="0" fontId="3" fillId="3" borderId="9" xfId="0" applyFont="1" applyFill="1" applyBorder="1">
      <alignment vertical="center"/>
    </xf>
    <xf numFmtId="0" fontId="3" fillId="3" borderId="10" xfId="0" applyFont="1" applyFill="1" applyBorder="1">
      <alignment vertical="center"/>
    </xf>
    <xf numFmtId="0" fontId="3" fillId="3" borderId="11" xfId="0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3" borderId="54" xfId="0" applyFont="1" applyFill="1" applyBorder="1">
      <alignment vertical="center"/>
    </xf>
    <xf numFmtId="0" fontId="3" fillId="3" borderId="55" xfId="0" applyFont="1" applyFill="1" applyBorder="1">
      <alignment vertical="center"/>
    </xf>
    <xf numFmtId="0" fontId="3" fillId="3" borderId="56" xfId="0" applyFont="1" applyFill="1" applyBorder="1">
      <alignment vertical="center"/>
    </xf>
    <xf numFmtId="0" fontId="3" fillId="3" borderId="28" xfId="0" applyFont="1" applyFill="1" applyBorder="1">
      <alignment vertical="center"/>
    </xf>
    <xf numFmtId="0" fontId="3" fillId="3" borderId="29" xfId="0" applyFont="1" applyFill="1" applyBorder="1">
      <alignment vertical="center"/>
    </xf>
    <xf numFmtId="0" fontId="3" fillId="3" borderId="31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28" xfId="0" applyFill="1" applyBorder="1">
      <alignment vertical="center"/>
    </xf>
    <xf numFmtId="0" fontId="0" fillId="2" borderId="29" xfId="0" applyFill="1" applyBorder="1">
      <alignment vertical="center"/>
    </xf>
    <xf numFmtId="0" fontId="0" fillId="2" borderId="31" xfId="0" applyFill="1" applyBorder="1">
      <alignment vertical="center"/>
    </xf>
    <xf numFmtId="0" fontId="0" fillId="10" borderId="0" xfId="0" applyFill="1" applyBorder="1">
      <alignment vertical="center"/>
    </xf>
    <xf numFmtId="0" fontId="13" fillId="2" borderId="0" xfId="0" applyFont="1" applyFill="1" applyBorder="1">
      <alignment vertical="center"/>
    </xf>
    <xf numFmtId="0" fontId="14" fillId="2" borderId="0" xfId="0" applyFont="1" applyFill="1" applyBorder="1">
      <alignment vertical="center"/>
    </xf>
    <xf numFmtId="0" fontId="4" fillId="0" borderId="0" xfId="0" applyFont="1" applyFill="1" applyBorder="1" applyAlignment="1">
      <alignment horizontal="center" vertical="center"/>
    </xf>
    <xf numFmtId="41" fontId="4" fillId="0" borderId="0" xfId="1" applyNumberFormat="1" applyFont="1" applyFill="1" applyBorder="1" applyAlignment="1">
      <alignment vertical="center"/>
    </xf>
    <xf numFmtId="41" fontId="4" fillId="0" borderId="0" xfId="1" applyNumberFormat="1" applyFont="1" applyFill="1" applyBorder="1" applyAlignment="1">
      <alignment horizontal="right" vertical="center"/>
    </xf>
    <xf numFmtId="0" fontId="15" fillId="0" borderId="0" xfId="0" applyFont="1" applyFill="1" applyBorder="1" applyAlignment="1">
      <alignment horizontal="center" vertical="center"/>
    </xf>
    <xf numFmtId="0" fontId="11" fillId="3" borderId="48" xfId="0" applyFont="1" applyFill="1" applyBorder="1" applyAlignment="1">
      <alignment horizontal="right" vertical="center"/>
    </xf>
    <xf numFmtId="0" fontId="9" fillId="8" borderId="42" xfId="0" applyFont="1" applyFill="1" applyBorder="1" applyAlignment="1">
      <alignment horizontal="center" vertical="center" textRotation="255"/>
    </xf>
    <xf numFmtId="0" fontId="9" fillId="8" borderId="43" xfId="0" applyFont="1" applyFill="1" applyBorder="1" applyAlignment="1">
      <alignment horizontal="center" vertical="center" textRotation="255"/>
    </xf>
    <xf numFmtId="0" fontId="3" fillId="2" borderId="32" xfId="0" applyNumberFormat="1" applyFont="1" applyFill="1" applyBorder="1" applyAlignment="1">
      <alignment horizontal="center" vertical="center"/>
    </xf>
    <xf numFmtId="176" fontId="3" fillId="2" borderId="33" xfId="0" applyNumberFormat="1" applyFont="1" applyFill="1" applyBorder="1" applyAlignment="1">
      <alignment horizontal="center" vertical="center"/>
    </xf>
    <xf numFmtId="176" fontId="3" fillId="2" borderId="34" xfId="0" applyNumberFormat="1" applyFont="1" applyFill="1" applyBorder="1" applyAlignment="1">
      <alignment horizontal="center" vertical="center"/>
    </xf>
    <xf numFmtId="0" fontId="3" fillId="0" borderId="44" xfId="0" applyNumberFormat="1" applyFont="1" applyFill="1" applyBorder="1" applyAlignment="1">
      <alignment horizontal="center" vertical="center"/>
    </xf>
    <xf numFmtId="0" fontId="3" fillId="0" borderId="45" xfId="0" applyNumberFormat="1" applyFont="1" applyFill="1" applyBorder="1" applyAlignment="1">
      <alignment horizontal="center" vertical="center"/>
    </xf>
    <xf numFmtId="0" fontId="3" fillId="0" borderId="45" xfId="0" applyNumberFormat="1" applyFont="1" applyFill="1" applyBorder="1" applyAlignment="1">
      <alignment vertical="center"/>
    </xf>
    <xf numFmtId="0" fontId="3" fillId="0" borderId="46" xfId="0" applyNumberFormat="1" applyFont="1" applyFill="1" applyBorder="1" applyAlignment="1">
      <alignment vertical="center"/>
    </xf>
    <xf numFmtId="176" fontId="3" fillId="0" borderId="45" xfId="0" applyNumberFormat="1" applyFont="1" applyFill="1" applyBorder="1" applyAlignment="1">
      <alignment horizontal="center" vertical="center"/>
    </xf>
    <xf numFmtId="0" fontId="3" fillId="0" borderId="35" xfId="0" applyNumberFormat="1" applyFont="1" applyFill="1" applyBorder="1" applyAlignment="1">
      <alignment horizontal="center" vertical="center"/>
    </xf>
    <xf numFmtId="176" fontId="3" fillId="0" borderId="36" xfId="0" applyNumberFormat="1" applyFont="1" applyFill="1" applyBorder="1" applyAlignment="1">
      <alignment horizontal="center" vertical="center"/>
    </xf>
    <xf numFmtId="0" fontId="3" fillId="0" borderId="36" xfId="0" applyNumberFormat="1" applyFont="1" applyFill="1" applyBorder="1" applyAlignment="1">
      <alignment vertical="center"/>
    </xf>
    <xf numFmtId="0" fontId="3" fillId="0" borderId="37" xfId="0" applyNumberFormat="1" applyFont="1" applyFill="1" applyBorder="1" applyAlignment="1">
      <alignment vertical="center"/>
    </xf>
    <xf numFmtId="0" fontId="9" fillId="8" borderId="50" xfId="0" applyFont="1" applyFill="1" applyBorder="1" applyAlignment="1">
      <alignment horizontal="center" vertical="center" textRotation="255"/>
    </xf>
    <xf numFmtId="176" fontId="3" fillId="3" borderId="47" xfId="0" applyNumberFormat="1" applyFont="1" applyFill="1" applyBorder="1" applyAlignment="1">
      <alignment horizontal="center" vertical="center"/>
    </xf>
    <xf numFmtId="176" fontId="3" fillId="3" borderId="48" xfId="0" applyNumberFormat="1" applyFont="1" applyFill="1" applyBorder="1" applyAlignment="1">
      <alignment horizontal="center" vertical="center"/>
    </xf>
    <xf numFmtId="176" fontId="3" fillId="3" borderId="49" xfId="0" applyNumberFormat="1" applyFont="1" applyFill="1" applyBorder="1" applyAlignment="1">
      <alignment horizontal="center" vertical="center"/>
    </xf>
    <xf numFmtId="176" fontId="3" fillId="3" borderId="51" xfId="0" applyNumberFormat="1" applyFont="1" applyFill="1" applyBorder="1" applyAlignment="1">
      <alignment horizontal="center" vertical="center"/>
    </xf>
    <xf numFmtId="176" fontId="3" fillId="3" borderId="52" xfId="0" applyNumberFormat="1" applyFont="1" applyFill="1" applyBorder="1" applyAlignment="1">
      <alignment horizontal="center" vertical="center"/>
    </xf>
    <xf numFmtId="176" fontId="3" fillId="3" borderId="53" xfId="0" applyNumberFormat="1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 textRotation="255"/>
    </xf>
    <xf numFmtId="0" fontId="3" fillId="2" borderId="38" xfId="0" applyFont="1" applyFill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/>
    </xf>
    <xf numFmtId="0" fontId="3" fillId="2" borderId="40" xfId="0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0" fontId="3" fillId="2" borderId="34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 vertical="center"/>
    </xf>
    <xf numFmtId="41" fontId="3" fillId="3" borderId="35" xfId="2" applyFont="1" applyFill="1" applyBorder="1" applyAlignment="1">
      <alignment horizontal="center" vertical="center"/>
    </xf>
    <xf numFmtId="41" fontId="3" fillId="3" borderId="36" xfId="2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3" borderId="37" xfId="2" applyFont="1" applyFill="1" applyBorder="1" applyAlignment="1">
      <alignment horizontal="center" vertical="center"/>
    </xf>
    <xf numFmtId="41" fontId="3" fillId="7" borderId="1" xfId="2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255"/>
    </xf>
    <xf numFmtId="0" fontId="3" fillId="3" borderId="35" xfId="0" applyFont="1" applyFill="1" applyBorder="1" applyAlignment="1">
      <alignment horizontal="center" vertical="center"/>
    </xf>
    <xf numFmtId="41" fontId="3" fillId="6" borderId="1" xfId="2" applyFont="1" applyFill="1" applyBorder="1" applyAlignment="1">
      <alignment horizontal="center" vertical="center"/>
    </xf>
    <xf numFmtId="0" fontId="9" fillId="4" borderId="19" xfId="0" applyFont="1" applyFill="1" applyBorder="1" applyAlignment="1">
      <alignment horizontal="center" vertical="center" textRotation="255"/>
    </xf>
    <xf numFmtId="0" fontId="9" fillId="4" borderId="23" xfId="0" applyFont="1" applyFill="1" applyBorder="1" applyAlignment="1">
      <alignment horizontal="center" vertical="center" textRotation="255"/>
    </xf>
    <xf numFmtId="0" fontId="3" fillId="2" borderId="20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horizontal="center" vertical="center"/>
    </xf>
    <xf numFmtId="0" fontId="9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horizontal="center" vertical="center"/>
    </xf>
    <xf numFmtId="42" fontId="10" fillId="5" borderId="3" xfId="0" applyNumberFormat="1" applyFont="1" applyFill="1" applyBorder="1" applyAlignment="1">
      <alignment horizontal="center" vertical="center"/>
    </xf>
    <xf numFmtId="42" fontId="10" fillId="5" borderId="4" xfId="0" applyNumberFormat="1" applyFont="1" applyFill="1" applyBorder="1" applyAlignment="1">
      <alignment horizontal="center" vertical="center"/>
    </xf>
    <xf numFmtId="42" fontId="10" fillId="5" borderId="29" xfId="0" applyNumberFormat="1" applyFont="1" applyFill="1" applyBorder="1" applyAlignment="1">
      <alignment horizontal="center" vertical="center"/>
    </xf>
    <xf numFmtId="42" fontId="10" fillId="5" borderId="31" xfId="0" applyNumberFormat="1" applyFont="1" applyFill="1" applyBorder="1" applyAlignment="1">
      <alignment horizontal="center" vertical="center"/>
    </xf>
    <xf numFmtId="41" fontId="3" fillId="6" borderId="24" xfId="2" applyFont="1" applyFill="1" applyBorder="1" applyAlignment="1">
      <alignment horizontal="center" vertical="center"/>
    </xf>
    <xf numFmtId="41" fontId="3" fillId="6" borderId="25" xfId="2" applyFont="1" applyFill="1" applyBorder="1" applyAlignment="1">
      <alignment horizontal="center" vertical="center"/>
    </xf>
    <xf numFmtId="41" fontId="3" fillId="6" borderId="26" xfId="2" applyFont="1" applyFill="1" applyBorder="1" applyAlignment="1">
      <alignment horizontal="center" vertical="center"/>
    </xf>
    <xf numFmtId="41" fontId="3" fillId="7" borderId="24" xfId="2" applyFont="1" applyFill="1" applyBorder="1" applyAlignment="1">
      <alignment horizontal="center" vertical="center"/>
    </xf>
    <xf numFmtId="41" fontId="3" fillId="7" borderId="25" xfId="2" applyFont="1" applyFill="1" applyBorder="1" applyAlignment="1">
      <alignment horizontal="center" vertical="center"/>
    </xf>
    <xf numFmtId="41" fontId="3" fillId="7" borderId="27" xfId="2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12" fillId="9" borderId="2" xfId="0" applyFont="1" applyFill="1" applyBorder="1" applyAlignment="1">
      <alignment horizontal="center" vertical="center"/>
    </xf>
    <xf numFmtId="0" fontId="12" fillId="9" borderId="3" xfId="0" applyFont="1" applyFill="1" applyBorder="1" applyAlignment="1">
      <alignment horizontal="center" vertical="center"/>
    </xf>
    <xf numFmtId="0" fontId="12" fillId="9" borderId="4" xfId="0" applyFont="1" applyFill="1" applyBorder="1" applyAlignment="1">
      <alignment horizontal="center" vertical="center"/>
    </xf>
    <xf numFmtId="0" fontId="12" fillId="9" borderId="28" xfId="0" applyFont="1" applyFill="1" applyBorder="1" applyAlignment="1">
      <alignment horizontal="center" vertical="center"/>
    </xf>
    <xf numFmtId="0" fontId="12" fillId="9" borderId="29" xfId="0" applyFont="1" applyFill="1" applyBorder="1" applyAlignment="1">
      <alignment horizontal="center" vertical="center"/>
    </xf>
    <xf numFmtId="0" fontId="12" fillId="9" borderId="31" xfId="0" applyFont="1" applyFill="1" applyBorder="1" applyAlignment="1">
      <alignment horizontal="center" vertical="center"/>
    </xf>
    <xf numFmtId="0" fontId="13" fillId="6" borderId="57" xfId="0" applyFont="1" applyFill="1" applyBorder="1" applyAlignment="1">
      <alignment horizontal="center" vertical="center"/>
    </xf>
    <xf numFmtId="0" fontId="13" fillId="6" borderId="58" xfId="0" applyFont="1" applyFill="1" applyBorder="1" applyAlignment="1">
      <alignment horizontal="center" vertical="center"/>
    </xf>
    <xf numFmtId="0" fontId="13" fillId="6" borderId="59" xfId="0" applyFont="1" applyFill="1" applyBorder="1" applyAlignment="1">
      <alignment horizontal="center" vertical="center"/>
    </xf>
    <xf numFmtId="0" fontId="18" fillId="3" borderId="57" xfId="0" applyFont="1" applyFill="1" applyBorder="1" applyAlignment="1">
      <alignment horizontal="center" vertical="center"/>
    </xf>
    <xf numFmtId="0" fontId="18" fillId="3" borderId="58" xfId="0" applyFont="1" applyFill="1" applyBorder="1" applyAlignment="1">
      <alignment horizontal="center" vertical="center"/>
    </xf>
    <xf numFmtId="0" fontId="4" fillId="3" borderId="59" xfId="0" applyFont="1" applyFill="1" applyBorder="1" applyAlignment="1">
      <alignment horizontal="center" vertical="center"/>
    </xf>
  </cellXfs>
  <cellStyles count="3">
    <cellStyle name="쉼표 [0]" xfId="1" builtinId="6"/>
    <cellStyle name="쉼표 [0] 2" xfId="2"/>
    <cellStyle name="표준" xfId="0" builtinId="0" customBuiltin="1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33" formatCode="_-* #,##0_-;\-* #,##0_-;_-* &quot;-&quot;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33" formatCode="_-* #,##0_-;\-* #,##0_-;_-* &quot;-&quot;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33" formatCode="_-* #,##0_-;\-* #,##0_-;_-* &quot;-&quot;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33" formatCode="_-* #,##0_-;\-* #,##0_-;_-* &quot;-&quot;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33" formatCode="_-* #,##0_-;\-* #,##0_-;_-* &quot;-&quot;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33" formatCode="_-* #,##0_-;\-* #,##0_-;_-* &quot;-&quot;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33" formatCode="_-* #,##0_-;\-* #,##0_-;_-* &quot;-&quot;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33" formatCode="_-* #,##0_-;\-* #,##0_-;_-* &quot;-&quot;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33" formatCode="_-* #,##0_-;\-* #,##0_-;_-* &quot;-&quot;_-;_-@_-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33" formatCode="_-* #,##0_-;\-* #,##0_-;_-* &quot;-&quot;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33" formatCode="_-* #,##0_-;\-* #,##0_-;_-* &quot;-&quot;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33" formatCode="_-* #,##0_-;\-* #,##0_-;_-* &quot;-&quot;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33" formatCode="_-* #,##0_-;\-* #,##0_-;_-* &quot;-&quot;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33" formatCode="_-* #,##0_-;\-* #,##0_-;_-* &quot;-&quot;_-;_-@_-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DDDDDD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Radio" firstButton="1" lockText="1"/>
</file>

<file path=xl/ctrlProps/ctrlProp3.xml><?xml version="1.0" encoding="utf-8"?>
<formControlPr xmlns="http://schemas.microsoft.com/office/spreadsheetml/2009/9/main" objectType="Radio" checked="Checked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3073" name="Group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대상자 선택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4</xdr:row>
          <xdr:rowOff>161925</xdr:rowOff>
        </xdr:from>
        <xdr:to>
          <xdr:col>3</xdr:col>
          <xdr:colOff>323850</xdr:colOff>
          <xdr:row>5</xdr:row>
          <xdr:rowOff>114300</xdr:rowOff>
        </xdr:to>
        <xdr:sp macro="" textlink="">
          <xdr:nvSpPr>
            <xdr:cNvPr id="3074" name="opt조건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조건 지정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4</xdr:row>
          <xdr:rowOff>152400</xdr:rowOff>
        </xdr:from>
        <xdr:to>
          <xdr:col>4</xdr:col>
          <xdr:colOff>571500</xdr:colOff>
          <xdr:row>5</xdr:row>
          <xdr:rowOff>104775</xdr:rowOff>
        </xdr:to>
        <xdr:sp macro="" textlink="">
          <xdr:nvSpPr>
            <xdr:cNvPr id="3075" name="opt모두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모두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6</xdr:col>
          <xdr:colOff>1038225</xdr:colOff>
          <xdr:row>5</xdr:row>
          <xdr:rowOff>76200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이메일 발송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171450</xdr:rowOff>
        </xdr:from>
        <xdr:to>
          <xdr:col>6</xdr:col>
          <xdr:colOff>1038225</xdr:colOff>
          <xdr:row>7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급여대장 인쇄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급여대장" displayName="급여대장" ref="A1:T21" totalsRowShown="0" headerRowDxfId="21" dataDxfId="20" dataCellStyle="쉼표 [0]">
  <tableColumns count="20">
    <tableColumn id="1" name="사번" dataDxfId="19"/>
    <tableColumn id="2" name="부서" dataDxfId="18"/>
    <tableColumn id="3" name="직위" dataDxfId="17"/>
    <tableColumn id="4" name="이름" dataDxfId="16"/>
    <tableColumn id="5" name="이메일" dataDxfId="15"/>
    <tableColumn id="6" name="부양가족" dataDxfId="14"/>
    <tableColumn id="7" name="기본급" dataDxfId="13" dataCellStyle="쉼표 [0]"/>
    <tableColumn id="8" name="직책수당" dataDxfId="12" dataCellStyle="쉼표 [0]"/>
    <tableColumn id="9" name="근속수당" dataDxfId="11" dataCellStyle="쉼표 [0]"/>
    <tableColumn id="10" name="급식수당" dataDxfId="10" dataCellStyle="쉼표 [0]"/>
    <tableColumn id="11" name="급여총액" dataDxfId="9" dataCellStyle="쉼표 [0]"/>
    <tableColumn id="12" name="과세급여" dataDxfId="8" dataCellStyle="쉼표 [0]"/>
    <tableColumn id="13" name="갑근세" dataDxfId="7" dataCellStyle="쉼표 [0]"/>
    <tableColumn id="14" name="주민세" dataDxfId="6" dataCellStyle="쉼표 [0]"/>
    <tableColumn id="15" name="국민연금" dataDxfId="5" dataCellStyle="쉼표 [0]"/>
    <tableColumn id="16" name="고용보험" dataDxfId="4" dataCellStyle="쉼표 [0]"/>
    <tableColumn id="17" name="건강보험" dataDxfId="3" dataCellStyle="쉼표 [0]"/>
    <tableColumn id="18" name="가불금" dataDxfId="2" dataCellStyle="쉼표 [0]"/>
    <tableColumn id="19" name="공제총액" dataDxfId="1" dataCellStyle="쉼표 [0]"/>
    <tableColumn id="20" name="지급액" dataDxfId="0" dataCellStyle="쉼표 [0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T21"/>
  <sheetViews>
    <sheetView tabSelected="1" zoomScaleNormal="100" workbookViewId="0">
      <selection activeCell="A2" sqref="A2"/>
    </sheetView>
  </sheetViews>
  <sheetFormatPr defaultColWidth="9.625" defaultRowHeight="16.5"/>
  <cols>
    <col min="1" max="2" width="8.75" style="1" bestFit="1" customWidth="1"/>
    <col min="3" max="3" width="8.75" bestFit="1" customWidth="1"/>
    <col min="4" max="4" width="8.75" style="1" bestFit="1" customWidth="1"/>
    <col min="5" max="5" width="15" style="1" bestFit="1" customWidth="1"/>
    <col min="6" max="6" width="12" bestFit="1" customWidth="1"/>
    <col min="7" max="7" width="10.375" style="1" bestFit="1" customWidth="1"/>
    <col min="8" max="12" width="12" style="1" bestFit="1" customWidth="1"/>
    <col min="13" max="14" width="10.375" style="1" bestFit="1" customWidth="1"/>
    <col min="15" max="17" width="12" style="1" bestFit="1" customWidth="1"/>
    <col min="18" max="18" width="10.375" style="1" bestFit="1" customWidth="1"/>
    <col min="19" max="19" width="12" style="1" bestFit="1" customWidth="1"/>
    <col min="20" max="20" width="10.375" style="1" bestFit="1" customWidth="1"/>
    <col min="21" max="21" width="11.375" style="1" customWidth="1"/>
    <col min="22" max="16384" width="9.625" style="1"/>
  </cols>
  <sheetData>
    <row r="1" spans="1:20">
      <c r="A1" s="36" t="s">
        <v>30</v>
      </c>
      <c r="B1" s="36" t="s">
        <v>33</v>
      </c>
      <c r="C1" s="36" t="s">
        <v>0</v>
      </c>
      <c r="D1" s="36" t="s">
        <v>31</v>
      </c>
      <c r="E1" s="36" t="s">
        <v>32</v>
      </c>
      <c r="F1" s="36" t="s">
        <v>34</v>
      </c>
      <c r="G1" s="36" t="s">
        <v>35</v>
      </c>
      <c r="H1" s="36" t="s">
        <v>36</v>
      </c>
      <c r="I1" s="36" t="s">
        <v>37</v>
      </c>
      <c r="J1" s="36" t="s">
        <v>38</v>
      </c>
      <c r="K1" s="36" t="s">
        <v>39</v>
      </c>
      <c r="L1" s="36" t="s">
        <v>40</v>
      </c>
      <c r="M1" s="36" t="s">
        <v>41</v>
      </c>
      <c r="N1" s="36" t="s">
        <v>42</v>
      </c>
      <c r="O1" s="36" t="s">
        <v>43</v>
      </c>
      <c r="P1" s="36" t="s">
        <v>44</v>
      </c>
      <c r="Q1" s="36" t="s">
        <v>45</v>
      </c>
      <c r="R1" s="36" t="s">
        <v>46</v>
      </c>
      <c r="S1" s="36" t="s">
        <v>47</v>
      </c>
      <c r="T1" s="36" t="s">
        <v>48</v>
      </c>
    </row>
    <row r="2" spans="1:20">
      <c r="A2" s="33">
        <v>1</v>
      </c>
      <c r="B2" s="33" t="s">
        <v>10</v>
      </c>
      <c r="C2" s="33" t="s">
        <v>28</v>
      </c>
      <c r="D2" s="33" t="s">
        <v>2</v>
      </c>
      <c r="E2" s="33" t="s">
        <v>49</v>
      </c>
      <c r="F2" s="33">
        <v>3</v>
      </c>
      <c r="G2" s="34">
        <v>3800000</v>
      </c>
      <c r="H2" s="34">
        <v>300000</v>
      </c>
      <c r="I2" s="34">
        <v>0</v>
      </c>
      <c r="J2" s="34">
        <v>300000</v>
      </c>
      <c r="K2" s="34">
        <v>4400000</v>
      </c>
      <c r="L2" s="35">
        <v>4300000</v>
      </c>
      <c r="M2" s="34">
        <v>312440</v>
      </c>
      <c r="N2" s="34">
        <v>31240</v>
      </c>
      <c r="O2" s="34">
        <v>162000</v>
      </c>
      <c r="P2" s="34">
        <v>19800</v>
      </c>
      <c r="Q2" s="34">
        <v>97440</v>
      </c>
      <c r="R2" s="34"/>
      <c r="S2" s="34">
        <v>622920</v>
      </c>
      <c r="T2" s="34">
        <v>3777080</v>
      </c>
    </row>
    <row r="3" spans="1:20">
      <c r="A3" s="33">
        <v>2</v>
      </c>
      <c r="B3" s="33" t="s">
        <v>10</v>
      </c>
      <c r="C3" s="33" t="s">
        <v>29</v>
      </c>
      <c r="D3" s="33" t="s">
        <v>5</v>
      </c>
      <c r="E3" s="33" t="s">
        <v>50</v>
      </c>
      <c r="F3" s="33">
        <v>2</v>
      </c>
      <c r="G3" s="34">
        <v>3500000</v>
      </c>
      <c r="H3" s="34">
        <v>200000</v>
      </c>
      <c r="I3" s="34">
        <v>200440</v>
      </c>
      <c r="J3" s="34">
        <v>200000</v>
      </c>
      <c r="K3" s="34">
        <v>4100440</v>
      </c>
      <c r="L3" s="35">
        <v>4000440</v>
      </c>
      <c r="M3" s="34">
        <v>288070</v>
      </c>
      <c r="N3" s="34">
        <v>28800</v>
      </c>
      <c r="O3" s="34">
        <v>162000</v>
      </c>
      <c r="P3" s="34">
        <v>18450</v>
      </c>
      <c r="Q3" s="34">
        <v>88480</v>
      </c>
      <c r="R3" s="34"/>
      <c r="S3" s="34">
        <v>585800</v>
      </c>
      <c r="T3" s="34">
        <v>3514640</v>
      </c>
    </row>
    <row r="4" spans="1:20">
      <c r="A4" s="33">
        <v>3</v>
      </c>
      <c r="B4" s="33" t="s">
        <v>10</v>
      </c>
      <c r="C4" s="33" t="s">
        <v>12</v>
      </c>
      <c r="D4" s="33" t="s">
        <v>1</v>
      </c>
      <c r="E4" s="33" t="s">
        <v>51</v>
      </c>
      <c r="F4" s="33">
        <v>2</v>
      </c>
      <c r="G4" s="34">
        <v>3000000</v>
      </c>
      <c r="H4" s="34">
        <v>100000</v>
      </c>
      <c r="I4" s="34">
        <v>150330</v>
      </c>
      <c r="J4" s="34">
        <v>150000</v>
      </c>
      <c r="K4" s="34">
        <v>3400330</v>
      </c>
      <c r="L4" s="35">
        <v>3300330</v>
      </c>
      <c r="M4" s="34">
        <v>180440</v>
      </c>
      <c r="N4" s="34">
        <v>18040</v>
      </c>
      <c r="O4" s="34">
        <v>145350</v>
      </c>
      <c r="P4" s="34">
        <v>15300</v>
      </c>
      <c r="Q4" s="34">
        <v>75040</v>
      </c>
      <c r="R4" s="34"/>
      <c r="S4" s="34">
        <v>434170</v>
      </c>
      <c r="T4" s="34">
        <v>2966160</v>
      </c>
    </row>
    <row r="5" spans="1:20">
      <c r="A5" s="33">
        <v>4</v>
      </c>
      <c r="B5" s="33" t="s">
        <v>10</v>
      </c>
      <c r="C5" s="33" t="s">
        <v>13</v>
      </c>
      <c r="D5" s="33" t="s">
        <v>6</v>
      </c>
      <c r="E5" s="33" t="s">
        <v>52</v>
      </c>
      <c r="F5" s="33">
        <v>1</v>
      </c>
      <c r="G5" s="34">
        <v>1800000</v>
      </c>
      <c r="H5" s="34">
        <v>0</v>
      </c>
      <c r="I5" s="34">
        <v>0</v>
      </c>
      <c r="J5" s="34">
        <v>100000</v>
      </c>
      <c r="K5" s="34">
        <v>1900000</v>
      </c>
      <c r="L5" s="35">
        <v>1800000</v>
      </c>
      <c r="M5" s="34">
        <v>19960</v>
      </c>
      <c r="N5" s="34">
        <v>1990</v>
      </c>
      <c r="O5" s="34">
        <v>79200</v>
      </c>
      <c r="P5" s="34">
        <v>8550</v>
      </c>
      <c r="Q5" s="34">
        <v>40990</v>
      </c>
      <c r="R5" s="34">
        <v>300000</v>
      </c>
      <c r="S5" s="34">
        <v>450690</v>
      </c>
      <c r="T5" s="34">
        <v>1449310</v>
      </c>
    </row>
    <row r="6" spans="1:20">
      <c r="A6" s="33">
        <v>5</v>
      </c>
      <c r="B6" s="33" t="s">
        <v>10</v>
      </c>
      <c r="C6" s="33" t="s">
        <v>13</v>
      </c>
      <c r="D6" s="33" t="s">
        <v>7</v>
      </c>
      <c r="E6" s="33" t="s">
        <v>53</v>
      </c>
      <c r="F6" s="33">
        <v>1</v>
      </c>
      <c r="G6" s="34">
        <v>2000000</v>
      </c>
      <c r="H6" s="34">
        <v>0</v>
      </c>
      <c r="I6" s="34">
        <v>0</v>
      </c>
      <c r="J6" s="34">
        <v>100000</v>
      </c>
      <c r="K6" s="34">
        <v>2100000</v>
      </c>
      <c r="L6" s="35">
        <v>2000000</v>
      </c>
      <c r="M6" s="34">
        <v>28950</v>
      </c>
      <c r="N6" s="34">
        <v>2890</v>
      </c>
      <c r="O6" s="34">
        <v>88650</v>
      </c>
      <c r="P6" s="34">
        <v>9450</v>
      </c>
      <c r="Q6" s="34">
        <v>44350</v>
      </c>
      <c r="R6" s="34"/>
      <c r="S6" s="34">
        <v>174290</v>
      </c>
      <c r="T6" s="34">
        <v>1925710</v>
      </c>
    </row>
    <row r="7" spans="1:20">
      <c r="A7" s="33">
        <v>6</v>
      </c>
      <c r="B7" s="33" t="s">
        <v>10</v>
      </c>
      <c r="C7" s="33" t="s">
        <v>13</v>
      </c>
      <c r="D7" s="33" t="s">
        <v>3</v>
      </c>
      <c r="E7" s="33" t="s">
        <v>54</v>
      </c>
      <c r="F7" s="33">
        <v>1</v>
      </c>
      <c r="G7" s="34">
        <v>1800000</v>
      </c>
      <c r="H7" s="34">
        <v>0</v>
      </c>
      <c r="I7" s="34">
        <v>61240</v>
      </c>
      <c r="J7" s="34">
        <v>100000</v>
      </c>
      <c r="K7" s="34">
        <v>1961240</v>
      </c>
      <c r="L7" s="35">
        <v>1861240</v>
      </c>
      <c r="M7" s="34">
        <v>22570</v>
      </c>
      <c r="N7" s="34">
        <v>2250</v>
      </c>
      <c r="O7" s="34">
        <v>83700</v>
      </c>
      <c r="P7" s="34">
        <v>8820</v>
      </c>
      <c r="Q7" s="34">
        <v>40990</v>
      </c>
      <c r="R7" s="34"/>
      <c r="S7" s="34">
        <v>158330</v>
      </c>
      <c r="T7" s="34">
        <v>1802910</v>
      </c>
    </row>
    <row r="8" spans="1:20">
      <c r="A8" s="33">
        <v>7</v>
      </c>
      <c r="B8" s="33" t="s">
        <v>10</v>
      </c>
      <c r="C8" s="33" t="s">
        <v>13</v>
      </c>
      <c r="D8" s="33" t="s">
        <v>4</v>
      </c>
      <c r="E8" s="33" t="s">
        <v>55</v>
      </c>
      <c r="F8" s="33">
        <v>2</v>
      </c>
      <c r="G8" s="34">
        <v>1800000</v>
      </c>
      <c r="H8" s="34">
        <v>0</v>
      </c>
      <c r="I8" s="34">
        <v>61240</v>
      </c>
      <c r="J8" s="34">
        <v>100000</v>
      </c>
      <c r="K8" s="34">
        <v>1961240</v>
      </c>
      <c r="L8" s="35">
        <v>1861240</v>
      </c>
      <c r="M8" s="34">
        <v>20230</v>
      </c>
      <c r="N8" s="34">
        <v>2020</v>
      </c>
      <c r="O8" s="34">
        <v>83700</v>
      </c>
      <c r="P8" s="34">
        <v>8820</v>
      </c>
      <c r="Q8" s="34">
        <v>40990</v>
      </c>
      <c r="R8" s="34"/>
      <c r="S8" s="34">
        <v>155760</v>
      </c>
      <c r="T8" s="34">
        <v>1805480</v>
      </c>
    </row>
    <row r="9" spans="1:20">
      <c r="A9" s="33">
        <v>8</v>
      </c>
      <c r="B9" s="33" t="s">
        <v>15</v>
      </c>
      <c r="C9" s="33" t="s">
        <v>11</v>
      </c>
      <c r="D9" s="33" t="s">
        <v>14</v>
      </c>
      <c r="E9" s="33" t="s">
        <v>56</v>
      </c>
      <c r="F9" s="33">
        <v>3</v>
      </c>
      <c r="G9" s="34">
        <v>3300000</v>
      </c>
      <c r="H9" s="34">
        <v>200000</v>
      </c>
      <c r="I9" s="34">
        <v>0</v>
      </c>
      <c r="J9" s="34">
        <v>200000</v>
      </c>
      <c r="K9" s="34">
        <v>3700000</v>
      </c>
      <c r="L9" s="35">
        <v>3600000</v>
      </c>
      <c r="M9" s="34">
        <v>200580</v>
      </c>
      <c r="N9" s="34">
        <v>20050</v>
      </c>
      <c r="O9" s="34">
        <v>162000</v>
      </c>
      <c r="P9" s="34">
        <v>16650</v>
      </c>
      <c r="Q9" s="34">
        <v>79520</v>
      </c>
      <c r="R9" s="34"/>
      <c r="S9" s="34">
        <v>478800</v>
      </c>
      <c r="T9" s="34">
        <v>3221200</v>
      </c>
    </row>
    <row r="10" spans="1:20">
      <c r="A10" s="33">
        <v>9</v>
      </c>
      <c r="B10" s="33" t="s">
        <v>15</v>
      </c>
      <c r="C10" s="33" t="s">
        <v>12</v>
      </c>
      <c r="D10" s="33" t="s">
        <v>16</v>
      </c>
      <c r="E10" s="33" t="s">
        <v>57</v>
      </c>
      <c r="F10" s="33">
        <v>1</v>
      </c>
      <c r="G10" s="34">
        <v>2500000</v>
      </c>
      <c r="H10" s="34">
        <v>100000</v>
      </c>
      <c r="I10" s="34">
        <v>0</v>
      </c>
      <c r="J10" s="34">
        <v>150000</v>
      </c>
      <c r="K10" s="34">
        <v>2750000</v>
      </c>
      <c r="L10" s="35">
        <v>2650000</v>
      </c>
      <c r="M10" s="34">
        <v>92740</v>
      </c>
      <c r="N10" s="34">
        <v>9270</v>
      </c>
      <c r="O10" s="34">
        <v>120150</v>
      </c>
      <c r="P10" s="34">
        <v>12370</v>
      </c>
      <c r="Q10" s="34">
        <v>61150</v>
      </c>
      <c r="R10" s="34"/>
      <c r="S10" s="34">
        <v>295680</v>
      </c>
      <c r="T10" s="34">
        <v>2454320</v>
      </c>
    </row>
    <row r="11" spans="1:20">
      <c r="A11" s="33">
        <v>10</v>
      </c>
      <c r="B11" s="33" t="s">
        <v>15</v>
      </c>
      <c r="C11" s="33" t="s">
        <v>13</v>
      </c>
      <c r="D11" s="33" t="s">
        <v>17</v>
      </c>
      <c r="E11" s="33" t="s">
        <v>58</v>
      </c>
      <c r="F11" s="33">
        <v>2</v>
      </c>
      <c r="G11" s="34">
        <v>1800000</v>
      </c>
      <c r="H11" s="34">
        <v>0</v>
      </c>
      <c r="I11" s="34">
        <v>0</v>
      </c>
      <c r="J11" s="34">
        <v>100000</v>
      </c>
      <c r="K11" s="34">
        <v>1900000</v>
      </c>
      <c r="L11" s="35">
        <v>1800000</v>
      </c>
      <c r="M11" s="34">
        <v>18030</v>
      </c>
      <c r="N11" s="34">
        <v>1800</v>
      </c>
      <c r="O11" s="34">
        <v>79200</v>
      </c>
      <c r="P11" s="34">
        <v>8550</v>
      </c>
      <c r="Q11" s="34">
        <v>40990</v>
      </c>
      <c r="R11" s="34"/>
      <c r="S11" s="34">
        <v>148570</v>
      </c>
      <c r="T11" s="34">
        <v>1751430</v>
      </c>
    </row>
    <row r="12" spans="1:20">
      <c r="A12" s="33">
        <v>11</v>
      </c>
      <c r="B12" s="33" t="s">
        <v>15</v>
      </c>
      <c r="C12" s="33" t="s">
        <v>13</v>
      </c>
      <c r="D12" s="33" t="s">
        <v>18</v>
      </c>
      <c r="E12" s="33" t="s">
        <v>59</v>
      </c>
      <c r="F12" s="33">
        <v>1</v>
      </c>
      <c r="G12" s="34">
        <v>2000000</v>
      </c>
      <c r="H12" s="34">
        <v>0</v>
      </c>
      <c r="I12" s="34">
        <v>41760</v>
      </c>
      <c r="J12" s="34">
        <v>100000</v>
      </c>
      <c r="K12" s="34">
        <v>2141760</v>
      </c>
      <c r="L12" s="35">
        <v>2041760</v>
      </c>
      <c r="M12" s="34">
        <v>30580</v>
      </c>
      <c r="N12" s="34">
        <v>3050</v>
      </c>
      <c r="O12" s="34">
        <v>93600</v>
      </c>
      <c r="P12" s="34">
        <v>9630</v>
      </c>
      <c r="Q12" s="34">
        <v>44350</v>
      </c>
      <c r="R12" s="34"/>
      <c r="S12" s="34">
        <v>181210</v>
      </c>
      <c r="T12" s="34">
        <v>1960550</v>
      </c>
    </row>
    <row r="13" spans="1:20">
      <c r="A13" s="33">
        <v>12</v>
      </c>
      <c r="B13" s="33" t="s">
        <v>15</v>
      </c>
      <c r="C13" s="33" t="s">
        <v>13</v>
      </c>
      <c r="D13" s="33" t="s">
        <v>19</v>
      </c>
      <c r="E13" s="33" t="s">
        <v>60</v>
      </c>
      <c r="F13" s="33">
        <v>1</v>
      </c>
      <c r="G13" s="34">
        <v>2000000</v>
      </c>
      <c r="H13" s="34">
        <v>0</v>
      </c>
      <c r="I13" s="34">
        <v>0</v>
      </c>
      <c r="J13" s="34">
        <v>100000</v>
      </c>
      <c r="K13" s="34">
        <v>2100000</v>
      </c>
      <c r="L13" s="35">
        <v>2000000</v>
      </c>
      <c r="M13" s="34">
        <v>28950</v>
      </c>
      <c r="N13" s="34">
        <v>2890</v>
      </c>
      <c r="O13" s="34">
        <v>88650</v>
      </c>
      <c r="P13" s="34">
        <v>9450</v>
      </c>
      <c r="Q13" s="34">
        <v>44350</v>
      </c>
      <c r="R13" s="34"/>
      <c r="S13" s="34">
        <v>174290</v>
      </c>
      <c r="T13" s="34">
        <v>1925710</v>
      </c>
    </row>
    <row r="14" spans="1:20">
      <c r="A14" s="33">
        <v>13</v>
      </c>
      <c r="B14" s="33" t="s">
        <v>21</v>
      </c>
      <c r="C14" s="33" t="s">
        <v>11</v>
      </c>
      <c r="D14" s="33" t="s">
        <v>20</v>
      </c>
      <c r="E14" s="33" t="s">
        <v>61</v>
      </c>
      <c r="F14" s="33">
        <v>2</v>
      </c>
      <c r="G14" s="34">
        <v>3000000</v>
      </c>
      <c r="H14" s="34">
        <v>200000</v>
      </c>
      <c r="I14" s="34">
        <v>76560</v>
      </c>
      <c r="J14" s="34">
        <v>200000</v>
      </c>
      <c r="K14" s="34">
        <v>3476560</v>
      </c>
      <c r="L14" s="35">
        <v>3376560</v>
      </c>
      <c r="M14" s="34">
        <v>189620</v>
      </c>
      <c r="N14" s="34">
        <v>18960</v>
      </c>
      <c r="O14" s="34">
        <v>152100</v>
      </c>
      <c r="P14" s="34">
        <v>15640</v>
      </c>
      <c r="Q14" s="34">
        <v>75040</v>
      </c>
      <c r="R14" s="34"/>
      <c r="S14" s="34">
        <v>451360</v>
      </c>
      <c r="T14" s="34">
        <v>3025200</v>
      </c>
    </row>
    <row r="15" spans="1:20">
      <c r="A15" s="33">
        <v>14</v>
      </c>
      <c r="B15" s="33" t="s">
        <v>21</v>
      </c>
      <c r="C15" s="33" t="s">
        <v>12</v>
      </c>
      <c r="D15" s="33" t="s">
        <v>22</v>
      </c>
      <c r="E15" s="33" t="s">
        <v>62</v>
      </c>
      <c r="F15" s="33">
        <v>1</v>
      </c>
      <c r="G15" s="34">
        <v>2800000</v>
      </c>
      <c r="H15" s="34">
        <v>100000</v>
      </c>
      <c r="I15" s="34">
        <v>59160</v>
      </c>
      <c r="J15" s="34">
        <v>150000</v>
      </c>
      <c r="K15" s="34">
        <v>3109160</v>
      </c>
      <c r="L15" s="35">
        <v>3009160</v>
      </c>
      <c r="M15" s="34">
        <v>143920</v>
      </c>
      <c r="N15" s="34">
        <v>14390</v>
      </c>
      <c r="O15" s="34">
        <v>132300</v>
      </c>
      <c r="P15" s="34">
        <v>13990</v>
      </c>
      <c r="Q15" s="34">
        <v>67870</v>
      </c>
      <c r="R15" s="34"/>
      <c r="S15" s="34">
        <v>372470</v>
      </c>
      <c r="T15" s="34">
        <v>2736690</v>
      </c>
    </row>
    <row r="16" spans="1:20">
      <c r="A16" s="33">
        <v>15</v>
      </c>
      <c r="B16" s="33" t="s">
        <v>21</v>
      </c>
      <c r="C16" s="33" t="s">
        <v>13</v>
      </c>
      <c r="D16" s="33" t="s">
        <v>8</v>
      </c>
      <c r="E16" s="33" t="s">
        <v>63</v>
      </c>
      <c r="F16" s="33">
        <v>2</v>
      </c>
      <c r="G16" s="34">
        <v>1800000</v>
      </c>
      <c r="H16" s="34">
        <v>0</v>
      </c>
      <c r="I16" s="34">
        <v>0</v>
      </c>
      <c r="J16" s="34">
        <v>100000</v>
      </c>
      <c r="K16" s="34">
        <v>1900000</v>
      </c>
      <c r="L16" s="35">
        <v>1800000</v>
      </c>
      <c r="M16" s="34">
        <v>18030</v>
      </c>
      <c r="N16" s="34">
        <v>1800</v>
      </c>
      <c r="O16" s="34">
        <v>79200</v>
      </c>
      <c r="P16" s="34">
        <v>8550</v>
      </c>
      <c r="Q16" s="34">
        <v>40990</v>
      </c>
      <c r="R16" s="34"/>
      <c r="S16" s="34">
        <v>148570</v>
      </c>
      <c r="T16" s="34">
        <v>1751430</v>
      </c>
    </row>
    <row r="17" spans="1:20">
      <c r="A17" s="33">
        <v>16</v>
      </c>
      <c r="B17" s="33" t="s">
        <v>21</v>
      </c>
      <c r="C17" s="33" t="s">
        <v>13</v>
      </c>
      <c r="D17" s="33" t="s">
        <v>23</v>
      </c>
      <c r="E17" s="33" t="s">
        <v>64</v>
      </c>
      <c r="F17" s="33">
        <v>1</v>
      </c>
      <c r="G17" s="34">
        <v>1800000</v>
      </c>
      <c r="H17" s="34">
        <v>0</v>
      </c>
      <c r="I17" s="34">
        <v>34800</v>
      </c>
      <c r="J17" s="34">
        <v>100000</v>
      </c>
      <c r="K17" s="34">
        <v>1934800</v>
      </c>
      <c r="L17" s="35">
        <v>1834800</v>
      </c>
      <c r="M17" s="34">
        <v>21140</v>
      </c>
      <c r="N17" s="34">
        <v>2110</v>
      </c>
      <c r="O17" s="34">
        <v>83700</v>
      </c>
      <c r="P17" s="34">
        <v>8700</v>
      </c>
      <c r="Q17" s="34">
        <v>40990</v>
      </c>
      <c r="R17" s="34">
        <v>500000</v>
      </c>
      <c r="S17" s="34">
        <v>656640</v>
      </c>
      <c r="T17" s="34">
        <v>1278160</v>
      </c>
    </row>
    <row r="18" spans="1:20">
      <c r="A18" s="33">
        <v>17</v>
      </c>
      <c r="B18" s="33" t="s">
        <v>21</v>
      </c>
      <c r="C18" s="33" t="s">
        <v>13</v>
      </c>
      <c r="D18" s="33" t="s">
        <v>9</v>
      </c>
      <c r="E18" s="33" t="s">
        <v>65</v>
      </c>
      <c r="F18" s="33">
        <v>1</v>
      </c>
      <c r="G18" s="34">
        <v>1850000</v>
      </c>
      <c r="H18" s="34">
        <v>0</v>
      </c>
      <c r="I18" s="34">
        <v>0</v>
      </c>
      <c r="J18" s="34">
        <v>100000</v>
      </c>
      <c r="K18" s="34">
        <v>1950000</v>
      </c>
      <c r="L18" s="35">
        <v>1850000</v>
      </c>
      <c r="M18" s="34">
        <v>22090</v>
      </c>
      <c r="N18" s="34">
        <v>2200</v>
      </c>
      <c r="O18" s="34">
        <v>83700</v>
      </c>
      <c r="P18" s="34">
        <v>8770</v>
      </c>
      <c r="Q18" s="34">
        <v>40990</v>
      </c>
      <c r="R18" s="34"/>
      <c r="S18" s="34">
        <v>157750</v>
      </c>
      <c r="T18" s="34">
        <v>1792250</v>
      </c>
    </row>
    <row r="19" spans="1:20">
      <c r="A19" s="33">
        <v>18</v>
      </c>
      <c r="B19" s="33" t="s">
        <v>21</v>
      </c>
      <c r="C19" s="33" t="s">
        <v>25</v>
      </c>
      <c r="D19" s="33" t="s">
        <v>24</v>
      </c>
      <c r="E19" s="33" t="s">
        <v>66</v>
      </c>
      <c r="F19" s="33">
        <v>1</v>
      </c>
      <c r="G19" s="34">
        <v>2200000</v>
      </c>
      <c r="H19" s="34">
        <v>0</v>
      </c>
      <c r="I19" s="34">
        <v>48720</v>
      </c>
      <c r="J19" s="34">
        <v>150000</v>
      </c>
      <c r="K19" s="34">
        <v>2398720</v>
      </c>
      <c r="L19" s="35">
        <v>2298720</v>
      </c>
      <c r="M19" s="34">
        <v>48310</v>
      </c>
      <c r="N19" s="34">
        <v>4830</v>
      </c>
      <c r="O19" s="34">
        <v>103500</v>
      </c>
      <c r="P19" s="34">
        <v>10790</v>
      </c>
      <c r="Q19" s="34">
        <v>51070</v>
      </c>
      <c r="R19" s="34"/>
      <c r="S19" s="34">
        <v>218500</v>
      </c>
      <c r="T19" s="34">
        <v>2180220</v>
      </c>
    </row>
    <row r="20" spans="1:20">
      <c r="A20" s="33">
        <v>19</v>
      </c>
      <c r="B20" s="33" t="s">
        <v>21</v>
      </c>
      <c r="C20" s="33" t="s">
        <v>13</v>
      </c>
      <c r="D20" s="33" t="s">
        <v>26</v>
      </c>
      <c r="E20" s="33" t="s">
        <v>67</v>
      </c>
      <c r="F20" s="33">
        <v>3</v>
      </c>
      <c r="G20" s="34">
        <v>1800000</v>
      </c>
      <c r="H20" s="34">
        <v>0</v>
      </c>
      <c r="I20" s="34">
        <v>0</v>
      </c>
      <c r="J20" s="34">
        <v>100000</v>
      </c>
      <c r="K20" s="34">
        <v>1900000</v>
      </c>
      <c r="L20" s="35">
        <v>1800000</v>
      </c>
      <c r="M20" s="34">
        <v>12930</v>
      </c>
      <c r="N20" s="34">
        <v>1290</v>
      </c>
      <c r="O20" s="34">
        <v>79200</v>
      </c>
      <c r="P20" s="34">
        <v>8550</v>
      </c>
      <c r="Q20" s="34">
        <v>40990</v>
      </c>
      <c r="R20" s="34"/>
      <c r="S20" s="34">
        <v>142960</v>
      </c>
      <c r="T20" s="34">
        <v>1757040</v>
      </c>
    </row>
    <row r="21" spans="1:20">
      <c r="A21" s="33">
        <v>20</v>
      </c>
      <c r="B21" s="33" t="s">
        <v>21</v>
      </c>
      <c r="C21" s="33" t="s">
        <v>13</v>
      </c>
      <c r="D21" s="33" t="s">
        <v>27</v>
      </c>
      <c r="E21" s="33" t="s">
        <v>68</v>
      </c>
      <c r="F21" s="33">
        <v>2</v>
      </c>
      <c r="G21" s="34">
        <v>1800000</v>
      </c>
      <c r="H21" s="34">
        <v>0</v>
      </c>
      <c r="I21" s="34">
        <v>34800</v>
      </c>
      <c r="J21" s="34">
        <v>100000</v>
      </c>
      <c r="K21" s="34">
        <v>1934800</v>
      </c>
      <c r="L21" s="35">
        <v>1834800</v>
      </c>
      <c r="M21" s="34">
        <v>18800</v>
      </c>
      <c r="N21" s="34">
        <v>1880</v>
      </c>
      <c r="O21" s="34">
        <v>83700</v>
      </c>
      <c r="P21" s="34">
        <v>8700</v>
      </c>
      <c r="Q21" s="34">
        <v>40990</v>
      </c>
      <c r="R21" s="34"/>
      <c r="S21" s="34">
        <v>154070</v>
      </c>
      <c r="T21" s="34">
        <v>1780730</v>
      </c>
    </row>
  </sheetData>
  <phoneticPr fontId="2" type="noConversion"/>
  <pageMargins left="0.74803149606299213" right="0.74803149606299213" top="0.98425196850393704" bottom="0.98425196850393704" header="0.51181102362204722" footer="0.51181102362204722"/>
  <pageSetup paperSize="9" scale="54" orientation="landscape" horizontalDpi="300" verticalDpi="300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H31"/>
  <sheetViews>
    <sheetView zoomScale="80" zoomScaleNormal="80" workbookViewId="0">
      <selection activeCell="C3" sqref="C3:X4"/>
    </sheetView>
  </sheetViews>
  <sheetFormatPr defaultColWidth="9" defaultRowHeight="16.5"/>
  <cols>
    <col min="1" max="1" width="3.5" style="5" customWidth="1"/>
    <col min="2" max="2" width="2.5" style="5" customWidth="1"/>
    <col min="3" max="24" width="3.5" style="5" customWidth="1"/>
    <col min="25" max="25" width="2.5" style="5" customWidth="1"/>
    <col min="26" max="26" width="3.5" style="5" customWidth="1"/>
    <col min="27" max="27" width="5" style="5" customWidth="1"/>
    <col min="35" max="16384" width="9" style="5"/>
  </cols>
  <sheetData>
    <row r="1" spans="1:26" ht="22.5" customHeight="1">
      <c r="A1" s="2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4"/>
    </row>
    <row r="2" spans="1:26" ht="15" customHeight="1">
      <c r="A2" s="6"/>
      <c r="B2" s="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9"/>
      <c r="Z2" s="10"/>
    </row>
    <row r="3" spans="1:26" ht="22.5" customHeight="1">
      <c r="A3" s="6"/>
      <c r="B3" s="11"/>
      <c r="C3" s="97" t="s">
        <v>100</v>
      </c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12"/>
      <c r="Z3" s="10"/>
    </row>
    <row r="4" spans="1:26" ht="22.5" customHeight="1" thickBot="1">
      <c r="A4" s="6"/>
      <c r="B4" s="11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12"/>
      <c r="Z4" s="10"/>
    </row>
    <row r="5" spans="1:26" ht="22.5" customHeight="1" thickTop="1" thickBot="1">
      <c r="A5" s="6"/>
      <c r="B5" s="11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2"/>
      <c r="Z5" s="10"/>
    </row>
    <row r="6" spans="1:26" ht="22.5" customHeight="1">
      <c r="A6" s="6"/>
      <c r="B6" s="11"/>
      <c r="C6" s="99" t="s">
        <v>69</v>
      </c>
      <c r="D6" s="100"/>
      <c r="E6" s="100"/>
      <c r="F6" s="100" t="s">
        <v>70</v>
      </c>
      <c r="G6" s="100"/>
      <c r="H6" s="100"/>
      <c r="I6" s="100" t="s">
        <v>71</v>
      </c>
      <c r="J6" s="100"/>
      <c r="K6" s="101"/>
      <c r="L6" s="13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2"/>
      <c r="Z6" s="10"/>
    </row>
    <row r="7" spans="1:26" ht="22.5" customHeight="1" thickBot="1">
      <c r="A7" s="6"/>
      <c r="B7" s="11"/>
      <c r="C7" s="102"/>
      <c r="D7" s="103"/>
      <c r="E7" s="103"/>
      <c r="F7" s="103"/>
      <c r="G7" s="103"/>
      <c r="H7" s="103"/>
      <c r="I7" s="103"/>
      <c r="J7" s="103"/>
      <c r="K7" s="104"/>
      <c r="L7" s="13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2"/>
      <c r="Z7" s="10"/>
    </row>
    <row r="8" spans="1:26" ht="22.5" customHeight="1" thickBot="1">
      <c r="A8" s="6"/>
      <c r="B8" s="11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2"/>
      <c r="Z8" s="10"/>
    </row>
    <row r="9" spans="1:26" ht="22.5" customHeight="1">
      <c r="A9" s="6"/>
      <c r="B9" s="11"/>
      <c r="C9" s="77" t="s">
        <v>72</v>
      </c>
      <c r="D9" s="79" t="s">
        <v>73</v>
      </c>
      <c r="E9" s="79"/>
      <c r="F9" s="79"/>
      <c r="G9" s="79"/>
      <c r="H9" s="79" t="s">
        <v>74</v>
      </c>
      <c r="I9" s="79"/>
      <c r="J9" s="79"/>
      <c r="K9" s="80"/>
      <c r="L9" s="14"/>
      <c r="M9" s="81" t="s">
        <v>75</v>
      </c>
      <c r="N9" s="82"/>
      <c r="O9" s="82"/>
      <c r="P9" s="83"/>
      <c r="Q9" s="87">
        <f>급여총액-공제총액</f>
        <v>0</v>
      </c>
      <c r="R9" s="87"/>
      <c r="S9" s="87"/>
      <c r="T9" s="87"/>
      <c r="U9" s="87"/>
      <c r="V9" s="87"/>
      <c r="W9" s="87"/>
      <c r="X9" s="88"/>
      <c r="Y9" s="12"/>
      <c r="Z9" s="10"/>
    </row>
    <row r="10" spans="1:26" ht="22.5" customHeight="1" thickBot="1">
      <c r="A10" s="6"/>
      <c r="B10" s="11"/>
      <c r="C10" s="78"/>
      <c r="D10" s="91"/>
      <c r="E10" s="92"/>
      <c r="F10" s="92"/>
      <c r="G10" s="93"/>
      <c r="H10" s="94"/>
      <c r="I10" s="95"/>
      <c r="J10" s="95"/>
      <c r="K10" s="96"/>
      <c r="L10" s="14"/>
      <c r="M10" s="84"/>
      <c r="N10" s="85"/>
      <c r="O10" s="85"/>
      <c r="P10" s="86"/>
      <c r="Q10" s="89"/>
      <c r="R10" s="89"/>
      <c r="S10" s="89"/>
      <c r="T10" s="89"/>
      <c r="U10" s="89"/>
      <c r="V10" s="89"/>
      <c r="W10" s="89"/>
      <c r="X10" s="90"/>
      <c r="Y10" s="12"/>
      <c r="Z10" s="10"/>
    </row>
    <row r="11" spans="1:26" ht="22.5" customHeight="1">
      <c r="A11" s="6"/>
      <c r="B11" s="11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2"/>
      <c r="Z11" s="10"/>
    </row>
    <row r="12" spans="1:26" ht="22.5" customHeight="1">
      <c r="A12" s="6"/>
      <c r="B12" s="11"/>
      <c r="C12" s="74" t="s">
        <v>76</v>
      </c>
      <c r="D12" s="66" t="s">
        <v>77</v>
      </c>
      <c r="E12" s="64"/>
      <c r="F12" s="64"/>
      <c r="G12" s="64"/>
      <c r="H12" s="64" t="s">
        <v>78</v>
      </c>
      <c r="I12" s="64"/>
      <c r="J12" s="64"/>
      <c r="K12" s="64"/>
      <c r="L12" s="64" t="s">
        <v>79</v>
      </c>
      <c r="M12" s="64"/>
      <c r="N12" s="64"/>
      <c r="O12" s="64"/>
      <c r="P12" s="64" t="s">
        <v>80</v>
      </c>
      <c r="Q12" s="64"/>
      <c r="R12" s="64"/>
      <c r="S12" s="65"/>
      <c r="T12" s="71" t="s">
        <v>73</v>
      </c>
      <c r="U12" s="71"/>
      <c r="V12" s="71"/>
      <c r="W12" s="71"/>
      <c r="X12" s="71"/>
      <c r="Y12" s="12"/>
      <c r="Z12" s="10"/>
    </row>
    <row r="13" spans="1:26" ht="22.5" customHeight="1">
      <c r="A13" s="6"/>
      <c r="B13" s="11"/>
      <c r="C13" s="74"/>
      <c r="D13" s="67"/>
      <c r="E13" s="68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72"/>
      <c r="T13" s="76">
        <f>SUM(D13:S13, D15:S15)</f>
        <v>0</v>
      </c>
      <c r="U13" s="76"/>
      <c r="V13" s="76"/>
      <c r="W13" s="76"/>
      <c r="X13" s="76"/>
      <c r="Y13" s="12"/>
      <c r="Z13" s="10"/>
    </row>
    <row r="14" spans="1:26" ht="22.5" customHeight="1">
      <c r="A14" s="6"/>
      <c r="B14" s="11"/>
      <c r="C14" s="74"/>
      <c r="D14" s="66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5"/>
      <c r="T14" s="76"/>
      <c r="U14" s="76"/>
      <c r="V14" s="76"/>
      <c r="W14" s="76"/>
      <c r="X14" s="76"/>
      <c r="Y14" s="12"/>
      <c r="Z14" s="10"/>
    </row>
    <row r="15" spans="1:26" ht="22.5" customHeight="1">
      <c r="A15" s="6"/>
      <c r="B15" s="11"/>
      <c r="C15" s="74"/>
      <c r="D15" s="75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70"/>
      <c r="T15" s="76"/>
      <c r="U15" s="76"/>
      <c r="V15" s="76"/>
      <c r="W15" s="76"/>
      <c r="X15" s="76"/>
      <c r="Y15" s="12"/>
      <c r="Z15" s="10"/>
    </row>
    <row r="16" spans="1:26" ht="22.5" customHeight="1">
      <c r="A16" s="6"/>
      <c r="B16" s="11"/>
      <c r="C16" s="59" t="s">
        <v>81</v>
      </c>
      <c r="D16" s="60" t="s">
        <v>82</v>
      </c>
      <c r="E16" s="61"/>
      <c r="F16" s="61"/>
      <c r="G16" s="62"/>
      <c r="H16" s="63" t="s">
        <v>83</v>
      </c>
      <c r="I16" s="61"/>
      <c r="J16" s="61"/>
      <c r="K16" s="62"/>
      <c r="L16" s="63" t="s">
        <v>84</v>
      </c>
      <c r="M16" s="61"/>
      <c r="N16" s="61"/>
      <c r="O16" s="62"/>
      <c r="P16" s="64" t="s">
        <v>85</v>
      </c>
      <c r="Q16" s="64"/>
      <c r="R16" s="64"/>
      <c r="S16" s="65"/>
      <c r="T16" s="71" t="s">
        <v>86</v>
      </c>
      <c r="U16" s="71"/>
      <c r="V16" s="71"/>
      <c r="W16" s="71"/>
      <c r="X16" s="71"/>
      <c r="Y16" s="12"/>
      <c r="Z16" s="10"/>
    </row>
    <row r="17" spans="1:26" ht="22.5" customHeight="1">
      <c r="A17" s="6"/>
      <c r="B17" s="11"/>
      <c r="C17" s="59"/>
      <c r="D17" s="67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72"/>
      <c r="T17" s="73">
        <f>SUM(D17:S17, D19:S19)</f>
        <v>0</v>
      </c>
      <c r="U17" s="73"/>
      <c r="V17" s="73"/>
      <c r="W17" s="73"/>
      <c r="X17" s="73"/>
      <c r="Y17" s="12"/>
      <c r="Z17" s="10"/>
    </row>
    <row r="18" spans="1:26" ht="22.5" customHeight="1">
      <c r="A18" s="6"/>
      <c r="B18" s="11"/>
      <c r="C18" s="59"/>
      <c r="D18" s="66" t="s">
        <v>87</v>
      </c>
      <c r="E18" s="64"/>
      <c r="F18" s="64"/>
      <c r="G18" s="64"/>
      <c r="H18" s="64" t="s">
        <v>88</v>
      </c>
      <c r="I18" s="64"/>
      <c r="J18" s="64"/>
      <c r="K18" s="64"/>
      <c r="L18" s="64"/>
      <c r="M18" s="64"/>
      <c r="N18" s="64"/>
      <c r="O18" s="64"/>
      <c r="P18" s="64"/>
      <c r="Q18" s="64"/>
      <c r="R18" s="64"/>
      <c r="S18" s="65"/>
      <c r="T18" s="73"/>
      <c r="U18" s="73"/>
      <c r="V18" s="73"/>
      <c r="W18" s="73"/>
      <c r="X18" s="73"/>
      <c r="Y18" s="12"/>
      <c r="Z18" s="10"/>
    </row>
    <row r="19" spans="1:26" ht="22.5" customHeight="1">
      <c r="A19" s="6"/>
      <c r="B19" s="11"/>
      <c r="C19" s="59"/>
      <c r="D19" s="67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9"/>
      <c r="Q19" s="69"/>
      <c r="R19" s="69"/>
      <c r="S19" s="70"/>
      <c r="T19" s="73"/>
      <c r="U19" s="73"/>
      <c r="V19" s="73"/>
      <c r="W19" s="73"/>
      <c r="X19" s="73"/>
      <c r="Y19" s="12"/>
      <c r="Z19" s="10"/>
    </row>
    <row r="20" spans="1:26" ht="22.5" customHeight="1">
      <c r="A20" s="6"/>
      <c r="B20" s="11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2"/>
      <c r="Z20" s="10"/>
    </row>
    <row r="21" spans="1:26" ht="22.5" customHeight="1">
      <c r="A21" s="6"/>
      <c r="B21" s="11"/>
      <c r="C21" s="38" t="s">
        <v>89</v>
      </c>
      <c r="D21" s="40" t="s">
        <v>90</v>
      </c>
      <c r="E21" s="41"/>
      <c r="F21" s="41" t="s">
        <v>91</v>
      </c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2"/>
      <c r="Y21" s="12"/>
      <c r="Z21" s="10"/>
    </row>
    <row r="22" spans="1:26" ht="22.5" customHeight="1">
      <c r="A22" s="6"/>
      <c r="B22" s="11"/>
      <c r="C22" s="39"/>
      <c r="D22" s="43">
        <v>1</v>
      </c>
      <c r="E22" s="44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6"/>
      <c r="Y22" s="12"/>
      <c r="Z22" s="10"/>
    </row>
    <row r="23" spans="1:26" ht="22.5" customHeight="1">
      <c r="A23" s="6"/>
      <c r="B23" s="11"/>
      <c r="C23" s="39"/>
      <c r="D23" s="43">
        <v>2</v>
      </c>
      <c r="E23" s="47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6"/>
      <c r="Y23" s="12"/>
      <c r="Z23" s="10"/>
    </row>
    <row r="24" spans="1:26" ht="22.5" customHeight="1">
      <c r="A24" s="6"/>
      <c r="B24" s="11"/>
      <c r="C24" s="39"/>
      <c r="D24" s="43">
        <v>3</v>
      </c>
      <c r="E24" s="47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6"/>
      <c r="Y24" s="12"/>
      <c r="Z24" s="10"/>
    </row>
    <row r="25" spans="1:26" ht="22.5" customHeight="1">
      <c r="A25" s="6"/>
      <c r="B25" s="11"/>
      <c r="C25" s="39"/>
      <c r="D25" s="43">
        <v>4</v>
      </c>
      <c r="E25" s="47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6"/>
      <c r="Y25" s="12"/>
      <c r="Z25" s="10"/>
    </row>
    <row r="26" spans="1:26" ht="22.5" customHeight="1">
      <c r="A26" s="6"/>
      <c r="B26" s="11"/>
      <c r="C26" s="39"/>
      <c r="D26" s="48">
        <v>5</v>
      </c>
      <c r="E26" s="49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1"/>
      <c r="Y26" s="12"/>
      <c r="Z26" s="10"/>
    </row>
    <row r="27" spans="1:26" ht="22.5" customHeight="1">
      <c r="A27" s="6"/>
      <c r="B27" s="11"/>
      <c r="C27" s="38" t="s">
        <v>92</v>
      </c>
      <c r="D27" s="53" t="s">
        <v>93</v>
      </c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5"/>
      <c r="Y27" s="12"/>
      <c r="Z27" s="10"/>
    </row>
    <row r="28" spans="1:26" ht="22.5" customHeight="1">
      <c r="A28" s="6"/>
      <c r="B28" s="11"/>
      <c r="C28" s="52"/>
      <c r="D28" s="56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8"/>
      <c r="Y28" s="12"/>
      <c r="Z28" s="10"/>
    </row>
    <row r="29" spans="1:26" ht="22.5" customHeight="1">
      <c r="A29" s="6"/>
      <c r="B29" s="11"/>
      <c r="C29" s="37" t="s">
        <v>94</v>
      </c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12"/>
      <c r="Z29" s="10"/>
    </row>
    <row r="30" spans="1:26" ht="15" customHeight="1">
      <c r="A30" s="6"/>
      <c r="B30" s="15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7"/>
      <c r="Z30" s="10"/>
    </row>
    <row r="31" spans="1:26" ht="22.5" customHeight="1" thickBot="1">
      <c r="A31" s="18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20"/>
    </row>
  </sheetData>
  <mergeCells count="68">
    <mergeCell ref="C3:X4"/>
    <mergeCell ref="C6:E6"/>
    <mergeCell ref="F6:H6"/>
    <mergeCell ref="I6:K6"/>
    <mergeCell ref="C7:E7"/>
    <mergeCell ref="F7:H7"/>
    <mergeCell ref="I7:K7"/>
    <mergeCell ref="C9:C10"/>
    <mergeCell ref="D9:G9"/>
    <mergeCell ref="H9:K9"/>
    <mergeCell ref="M9:P10"/>
    <mergeCell ref="Q9:X10"/>
    <mergeCell ref="D10:G10"/>
    <mergeCell ref="H10:K10"/>
    <mergeCell ref="T12:X12"/>
    <mergeCell ref="D13:G13"/>
    <mergeCell ref="H13:K13"/>
    <mergeCell ref="L13:O13"/>
    <mergeCell ref="P13:S13"/>
    <mergeCell ref="T13:X15"/>
    <mergeCell ref="C12:C15"/>
    <mergeCell ref="D12:G12"/>
    <mergeCell ref="H12:K12"/>
    <mergeCell ref="L12:O12"/>
    <mergeCell ref="P12:S12"/>
    <mergeCell ref="D14:G14"/>
    <mergeCell ref="H14:K14"/>
    <mergeCell ref="L14:O14"/>
    <mergeCell ref="P14:S14"/>
    <mergeCell ref="D15:G15"/>
    <mergeCell ref="H15:K15"/>
    <mergeCell ref="L15:O15"/>
    <mergeCell ref="P15:S15"/>
    <mergeCell ref="T16:X16"/>
    <mergeCell ref="D17:G17"/>
    <mergeCell ref="H17:K17"/>
    <mergeCell ref="L17:O17"/>
    <mergeCell ref="P17:S17"/>
    <mergeCell ref="T17:X19"/>
    <mergeCell ref="C16:C19"/>
    <mergeCell ref="D16:G16"/>
    <mergeCell ref="H16:K16"/>
    <mergeCell ref="L16:O16"/>
    <mergeCell ref="P16:S16"/>
    <mergeCell ref="D18:G18"/>
    <mergeCell ref="H18:K18"/>
    <mergeCell ref="L18:O18"/>
    <mergeCell ref="P18:S18"/>
    <mergeCell ref="D19:G19"/>
    <mergeCell ref="H19:K19"/>
    <mergeCell ref="L19:O19"/>
    <mergeCell ref="P19:S19"/>
    <mergeCell ref="C29:X29"/>
    <mergeCell ref="C21:C26"/>
    <mergeCell ref="D21:E21"/>
    <mergeCell ref="F21:X21"/>
    <mergeCell ref="D22:E22"/>
    <mergeCell ref="F22:X22"/>
    <mergeCell ref="D23:E23"/>
    <mergeCell ref="F23:X23"/>
    <mergeCell ref="D24:E24"/>
    <mergeCell ref="F24:X24"/>
    <mergeCell ref="D25:E25"/>
    <mergeCell ref="F25:X25"/>
    <mergeCell ref="D26:E26"/>
    <mergeCell ref="F26:X26"/>
    <mergeCell ref="C27:C28"/>
    <mergeCell ref="D27:X28"/>
  </mergeCells>
  <phoneticPr fontId="6" type="noConversion"/>
  <printOptions horizontalCentered="1" verticalCentered="1"/>
  <pageMargins left="0.74803149606299213" right="0.74803149606299213" top="0.98425196850393704" bottom="0.98425196850393704" header="0.51181102362204722" footer="0.51181102362204722"/>
  <pageSetup paperSize="9" scale="89" orientation="portrait" horizont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H10"/>
  <sheetViews>
    <sheetView workbookViewId="0">
      <selection activeCell="H12" sqref="H12"/>
    </sheetView>
  </sheetViews>
  <sheetFormatPr defaultRowHeight="19.5" customHeight="1"/>
  <cols>
    <col min="2" max="2" width="5" customWidth="1"/>
    <col min="6" max="6" width="5" customWidth="1"/>
    <col min="7" max="7" width="13.75" customWidth="1"/>
    <col min="8" max="8" width="5" customWidth="1"/>
  </cols>
  <sheetData>
    <row r="1" spans="2:8" ht="19.5" customHeight="1" thickBot="1"/>
    <row r="2" spans="2:8" ht="19.5" customHeight="1">
      <c r="B2" s="105" t="s">
        <v>95</v>
      </c>
      <c r="C2" s="106"/>
      <c r="D2" s="106"/>
      <c r="E2" s="106"/>
      <c r="F2" s="106"/>
      <c r="G2" s="106"/>
      <c r="H2" s="107"/>
    </row>
    <row r="3" spans="2:8" ht="19.5" customHeight="1" thickBot="1">
      <c r="B3" s="108"/>
      <c r="C3" s="109"/>
      <c r="D3" s="109"/>
      <c r="E3" s="109"/>
      <c r="F3" s="109"/>
      <c r="G3" s="109"/>
      <c r="H3" s="110"/>
    </row>
    <row r="4" spans="2:8" ht="19.5" customHeight="1">
      <c r="B4" s="21"/>
      <c r="C4" s="22"/>
      <c r="D4" s="22"/>
      <c r="E4" s="22"/>
      <c r="F4" s="22"/>
      <c r="G4" s="22"/>
      <c r="H4" s="23"/>
    </row>
    <row r="5" spans="2:8" ht="19.5" customHeight="1">
      <c r="B5" s="24"/>
      <c r="C5" s="30"/>
      <c r="D5" s="30"/>
      <c r="E5" s="30"/>
      <c r="F5" s="25"/>
      <c r="G5" s="25"/>
      <c r="H5" s="26"/>
    </row>
    <row r="6" spans="2:8" ht="19.5" customHeight="1">
      <c r="B6" s="24"/>
      <c r="C6" s="30"/>
      <c r="D6" s="30"/>
      <c r="E6" s="30"/>
      <c r="F6" s="25"/>
      <c r="G6" s="25"/>
      <c r="H6" s="26"/>
    </row>
    <row r="7" spans="2:8" ht="19.5" customHeight="1">
      <c r="B7" s="24"/>
      <c r="C7" s="32" t="s">
        <v>99</v>
      </c>
      <c r="D7" s="31"/>
      <c r="E7" s="31"/>
      <c r="F7" s="25"/>
      <c r="G7" s="25"/>
      <c r="H7" s="26"/>
    </row>
    <row r="8" spans="2:8" ht="19.5" customHeight="1">
      <c r="B8" s="24"/>
      <c r="C8" s="111" t="s">
        <v>96</v>
      </c>
      <c r="D8" s="112" t="s">
        <v>97</v>
      </c>
      <c r="E8" s="113" t="s">
        <v>98</v>
      </c>
      <c r="F8" s="25"/>
      <c r="G8" s="25"/>
      <c r="H8" s="26"/>
    </row>
    <row r="9" spans="2:8" ht="19.5" customHeight="1">
      <c r="B9" s="24"/>
      <c r="C9" s="114"/>
      <c r="D9" s="115"/>
      <c r="E9" s="116"/>
      <c r="F9" s="25"/>
      <c r="G9" s="25"/>
      <c r="H9" s="26"/>
    </row>
    <row r="10" spans="2:8" ht="19.5" customHeight="1" thickBot="1">
      <c r="B10" s="27"/>
      <c r="C10" s="28"/>
      <c r="D10" s="28"/>
      <c r="E10" s="28"/>
      <c r="F10" s="28"/>
      <c r="G10" s="28"/>
      <c r="H10" s="29"/>
    </row>
  </sheetData>
  <mergeCells count="1">
    <mergeCell ref="B2:H3"/>
  </mergeCells>
  <phoneticPr fontId="6" type="noConversion"/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Group Box 1">
              <controlPr defaultSize="0" autoFill="0" autoPict="0">
                <anchor mov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조건">
              <controlPr defaultSize="0" autoFill="0" autoLine="0" autoPict="0">
                <anchor moveWithCells="1">
                  <from>
                    <xdr:col>2</xdr:col>
                    <xdr:colOff>200025</xdr:colOff>
                    <xdr:row>4</xdr:row>
                    <xdr:rowOff>161925</xdr:rowOff>
                  </from>
                  <to>
                    <xdr:col>3</xdr:col>
                    <xdr:colOff>323850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opt모두">
              <controlPr defaultSize="0" autoFill="0" autoLine="0" autoPict="0" macro="[0]!모두발송">
                <anchor moveWithCells="1">
                  <from>
                    <xdr:col>3</xdr:col>
                    <xdr:colOff>447675</xdr:colOff>
                    <xdr:row>4</xdr:row>
                    <xdr:rowOff>152400</xdr:rowOff>
                  </from>
                  <to>
                    <xdr:col>4</xdr:col>
                    <xdr:colOff>571500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이메일발송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6</xdr:col>
                    <xdr:colOff>1038225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급여대장인쇄">
                <anchor moveWithCells="1" sizeWithCells="1">
                  <from>
                    <xdr:col>6</xdr:col>
                    <xdr:colOff>0</xdr:colOff>
                    <xdr:row>5</xdr:row>
                    <xdr:rowOff>171450</xdr:rowOff>
                  </from>
                  <to>
                    <xdr:col>6</xdr:col>
                    <xdr:colOff>1038225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책 예제 및 샘플 제공용</Templat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17</vt:i4>
      </vt:variant>
    </vt:vector>
  </HeadingPairs>
  <TitlesOfParts>
    <vt:vector size="20" baseType="lpstr">
      <vt:lpstr>급여대장</vt:lpstr>
      <vt:lpstr>급여명세서</vt:lpstr>
      <vt:lpstr>관리</vt:lpstr>
      <vt:lpstr>가불금</vt:lpstr>
      <vt:lpstr>갑근세</vt:lpstr>
      <vt:lpstr>건강보험</vt:lpstr>
      <vt:lpstr>고용보험</vt:lpstr>
      <vt:lpstr>공제총액</vt:lpstr>
      <vt:lpstr>국민연금</vt:lpstr>
      <vt:lpstr>근속수당</vt:lpstr>
      <vt:lpstr>급식수당</vt:lpstr>
      <vt:lpstr>급여총액</vt:lpstr>
      <vt:lpstr>기본급</vt:lpstr>
      <vt:lpstr>부서</vt:lpstr>
      <vt:lpstr>이름</vt:lpstr>
      <vt:lpstr>제목</vt:lpstr>
      <vt:lpstr>조건표</vt:lpstr>
      <vt:lpstr>주민세</vt:lpstr>
      <vt:lpstr>직위</vt:lpstr>
      <vt:lpstr>직책수당</vt:lpstr>
    </vt:vector>
  </TitlesOfParts>
  <Company>한빛미디어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급여명세서</dc:title>
  <dc:subject>엑셀..하루에 하나씩(http://cafe.naver.com/excelmaster.cafe)</dc:subject>
  <dc:creator>최준선(haruhana@gmail.com)</dc:creator>
  <cp:keywords>엑셀..하루에 하나씩</cp:keywords>
  <cp:lastModifiedBy>최준선</cp:lastModifiedBy>
  <cp:lastPrinted>2011-02-24T13:20:54Z</cp:lastPrinted>
  <dcterms:created xsi:type="dcterms:W3CDTF">2005-03-03T10:17:49Z</dcterms:created>
  <dcterms:modified xsi:type="dcterms:W3CDTF">2011-02-27T12:28:17Z</dcterms:modified>
</cp:coreProperties>
</file>